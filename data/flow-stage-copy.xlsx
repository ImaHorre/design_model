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peakemulsions.sharepoint.com/sites/Techteam/Shared Documents/Product/V4.2/ChipTesting/"/>
    </mc:Choice>
  </mc:AlternateContent>
  <xr:revisionPtr revIDLastSave="0" documentId="8_{A1157A90-0D82-48A8-9D5E-9C6D9AA32E78}" xr6:coauthVersionLast="47" xr6:coauthVersionMax="47" xr10:uidLastSave="{00000000-0000-0000-0000-000000000000}"/>
  <bookViews>
    <workbookView xWindow="28680" yWindow="-360" windowWidth="29040" windowHeight="15720" firstSheet="1" activeTab="1" xr2:uid="{576A8E4E-1406-4EF0-AC86-D0E98A4F90DF}"/>
  </bookViews>
  <sheets>
    <sheet name="Sheet1" sheetId="1" r:id="rId1"/>
    <sheet name="10um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6" i="2" l="1"/>
  <c r="T77" i="2"/>
  <c r="R76" i="2"/>
  <c r="R77" i="2"/>
  <c r="K77" i="2"/>
  <c r="L77" i="2"/>
  <c r="M77" i="2"/>
  <c r="O77" i="2"/>
  <c r="Q77" i="2"/>
  <c r="S77" i="2"/>
  <c r="K76" i="2"/>
  <c r="L76" i="2"/>
  <c r="M76" i="2"/>
  <c r="O76" i="2"/>
  <c r="Q76" i="2"/>
  <c r="S76" i="2"/>
  <c r="X80" i="2"/>
  <c r="Q81" i="2"/>
  <c r="R81" i="2" s="1"/>
  <c r="S81" i="2"/>
  <c r="T81" i="2" s="1"/>
  <c r="Q80" i="2"/>
  <c r="S80" i="2"/>
  <c r="T80" i="2"/>
  <c r="R79" i="2"/>
  <c r="R80" i="2"/>
  <c r="K78" i="2"/>
  <c r="L78" i="2"/>
  <c r="M78" i="2"/>
  <c r="O78" i="2"/>
  <c r="K79" i="2"/>
  <c r="L79" i="2"/>
  <c r="M79" i="2"/>
  <c r="O79" i="2"/>
  <c r="K80" i="2"/>
  <c r="L80" i="2"/>
  <c r="M80" i="2"/>
  <c r="O80" i="2"/>
  <c r="K81" i="2"/>
  <c r="L81" i="2"/>
  <c r="M81" i="2"/>
  <c r="O81" i="2"/>
  <c r="S79" i="2"/>
  <c r="T79" i="2" s="1"/>
  <c r="X78" i="2"/>
  <c r="Q78" i="2"/>
  <c r="R78" i="2" s="1"/>
  <c r="S78" i="2"/>
  <c r="T78" i="2" s="1"/>
  <c r="X75" i="2"/>
  <c r="Q75" i="2"/>
  <c r="R75" i="2" s="1"/>
  <c r="S75" i="2"/>
  <c r="T75" i="2" s="1"/>
  <c r="S74" i="2"/>
  <c r="X74" i="2"/>
  <c r="Q74" i="2"/>
  <c r="R74" i="2" s="1"/>
  <c r="X73" i="2"/>
  <c r="X71" i="2"/>
  <c r="V71" i="2"/>
  <c r="Q71" i="2"/>
  <c r="S71" i="2"/>
  <c r="X70" i="2"/>
  <c r="K71" i="2"/>
  <c r="L71" i="2"/>
  <c r="M71" i="2"/>
  <c r="O71" i="2"/>
  <c r="K72" i="2"/>
  <c r="L72" i="2"/>
  <c r="M72" i="2"/>
  <c r="O72" i="2"/>
  <c r="K73" i="2"/>
  <c r="L73" i="2"/>
  <c r="M73" i="2"/>
  <c r="O73" i="2"/>
  <c r="K74" i="2"/>
  <c r="L74" i="2"/>
  <c r="M74" i="2"/>
  <c r="O74" i="2"/>
  <c r="K75" i="2"/>
  <c r="L75" i="2"/>
  <c r="M75" i="2"/>
  <c r="O75" i="2"/>
  <c r="T71" i="2"/>
  <c r="T72" i="2"/>
  <c r="T73" i="2"/>
  <c r="T74" i="2"/>
  <c r="R71" i="2"/>
  <c r="R72" i="2"/>
  <c r="R73" i="2"/>
  <c r="K70" i="2"/>
  <c r="L70" i="2"/>
  <c r="M70" i="2"/>
  <c r="O70" i="2"/>
  <c r="Q70" i="2"/>
  <c r="R70" i="2" s="1"/>
  <c r="S70" i="2"/>
  <c r="T70" i="2" s="1"/>
  <c r="V53" i="2"/>
  <c r="U69" i="2"/>
  <c r="V69" i="2" s="1"/>
  <c r="X69" i="2"/>
  <c r="K69" i="2"/>
  <c r="L69" i="2"/>
  <c r="M69" i="2"/>
  <c r="O69" i="2"/>
  <c r="Q69" i="2"/>
  <c r="T69" i="2"/>
  <c r="R69" i="2"/>
  <c r="U67" i="2"/>
  <c r="V67" i="2" s="1"/>
  <c r="K66" i="2"/>
  <c r="L66" i="2"/>
  <c r="M66" i="2"/>
  <c r="O66" i="2"/>
  <c r="K67" i="2"/>
  <c r="L67" i="2"/>
  <c r="M67" i="2"/>
  <c r="O67" i="2"/>
  <c r="Q66" i="2"/>
  <c r="Q65" i="2"/>
  <c r="R66" i="2"/>
  <c r="R67" i="2"/>
  <c r="T67" i="2"/>
  <c r="S66" i="2"/>
  <c r="T66" i="2" s="1"/>
  <c r="X64" i="2"/>
  <c r="Q64" i="2"/>
  <c r="S64" i="2"/>
  <c r="X63" i="2"/>
  <c r="Q62" i="2"/>
  <c r="Q63" i="2"/>
  <c r="Q61" i="2"/>
  <c r="S61" i="2"/>
  <c r="V60" i="2"/>
  <c r="Q60" i="2"/>
  <c r="S60" i="2"/>
  <c r="X59" i="2"/>
  <c r="S58" i="2"/>
  <c r="R57" i="2"/>
  <c r="K57" i="2"/>
  <c r="L57" i="2"/>
  <c r="M57" i="2"/>
  <c r="O57" i="2"/>
  <c r="K58" i="2"/>
  <c r="L58" i="2"/>
  <c r="M58" i="2"/>
  <c r="O58" i="2"/>
  <c r="K59" i="2"/>
  <c r="L59" i="2"/>
  <c r="M59" i="2"/>
  <c r="O59" i="2"/>
  <c r="K60" i="2"/>
  <c r="L60" i="2"/>
  <c r="M60" i="2"/>
  <c r="O60" i="2"/>
  <c r="K61" i="2"/>
  <c r="L61" i="2"/>
  <c r="M61" i="2"/>
  <c r="O61" i="2"/>
  <c r="K62" i="2"/>
  <c r="L62" i="2"/>
  <c r="M62" i="2"/>
  <c r="O62" i="2"/>
  <c r="K63" i="2"/>
  <c r="L63" i="2"/>
  <c r="M63" i="2"/>
  <c r="O63" i="2"/>
  <c r="K64" i="2"/>
  <c r="L64" i="2"/>
  <c r="M64" i="2"/>
  <c r="O64" i="2"/>
  <c r="K65" i="2"/>
  <c r="L65" i="2"/>
  <c r="M65" i="2"/>
  <c r="O65" i="2"/>
  <c r="R58" i="2"/>
  <c r="R59" i="2"/>
  <c r="R60" i="2"/>
  <c r="R61" i="2"/>
  <c r="R62" i="2"/>
  <c r="R63" i="2"/>
  <c r="R64" i="2"/>
  <c r="R65" i="2"/>
  <c r="T57" i="2"/>
  <c r="T58" i="2"/>
  <c r="T59" i="2"/>
  <c r="T60" i="2"/>
  <c r="T61" i="2"/>
  <c r="T62" i="2"/>
  <c r="T63" i="2"/>
  <c r="T64" i="2"/>
  <c r="T65" i="2"/>
  <c r="X56" i="2"/>
  <c r="Q56" i="2"/>
  <c r="R56" i="2" s="1"/>
  <c r="K56" i="2"/>
  <c r="M56" i="2"/>
  <c r="L56" i="2"/>
  <c r="O56" i="2"/>
  <c r="K54" i="2"/>
  <c r="L54" i="2"/>
  <c r="M54" i="2"/>
  <c r="O54" i="2"/>
  <c r="K53" i="2"/>
  <c r="L53" i="2"/>
  <c r="M53" i="2"/>
  <c r="O53" i="2"/>
  <c r="M52" i="2"/>
  <c r="L52" i="2"/>
  <c r="K52" i="2"/>
  <c r="O52" i="2" s="1"/>
  <c r="T52" i="2"/>
  <c r="T53" i="2"/>
  <c r="T54" i="2"/>
  <c r="T56" i="2"/>
  <c r="T51" i="2"/>
  <c r="M51" i="2"/>
  <c r="L51" i="2"/>
  <c r="K51" i="2"/>
  <c r="M50" i="2"/>
  <c r="L50" i="2"/>
  <c r="K50" i="2"/>
  <c r="O50" i="2" s="1"/>
  <c r="M49" i="2"/>
  <c r="L49" i="2"/>
  <c r="K49" i="2"/>
  <c r="O49" i="2" s="1"/>
  <c r="V48" i="2"/>
  <c r="V49" i="2"/>
  <c r="V50" i="2"/>
  <c r="T37" i="2"/>
  <c r="R39" i="2"/>
  <c r="R40" i="2"/>
  <c r="R41" i="2"/>
  <c r="R42" i="2"/>
  <c r="R43" i="2"/>
  <c r="R44" i="2"/>
  <c r="R46" i="2"/>
  <c r="R47" i="2"/>
  <c r="R48" i="2"/>
  <c r="R49" i="2"/>
  <c r="R50" i="2"/>
  <c r="R51" i="2"/>
  <c r="R52" i="2"/>
  <c r="R53" i="2"/>
  <c r="R54" i="2"/>
  <c r="R37" i="2"/>
  <c r="T38" i="2"/>
  <c r="T39" i="2"/>
  <c r="T40" i="2"/>
  <c r="T41" i="2"/>
  <c r="T42" i="2"/>
  <c r="T43" i="2"/>
  <c r="T44" i="2"/>
  <c r="T46" i="2"/>
  <c r="T47" i="2"/>
  <c r="T48" i="2"/>
  <c r="T49" i="2"/>
  <c r="T50" i="2"/>
  <c r="V39" i="2"/>
  <c r="V40" i="2"/>
  <c r="V41" i="2"/>
  <c r="V42" i="2"/>
  <c r="V43" i="2"/>
  <c r="V46" i="2"/>
  <c r="K38" i="2"/>
  <c r="L38" i="2"/>
  <c r="M38" i="2"/>
  <c r="K39" i="2"/>
  <c r="L39" i="2"/>
  <c r="M39" i="2"/>
  <c r="K40" i="2"/>
  <c r="L40" i="2"/>
  <c r="M40" i="2"/>
  <c r="K41" i="2"/>
  <c r="L41" i="2"/>
  <c r="M41" i="2"/>
  <c r="K42" i="2"/>
  <c r="L42" i="2"/>
  <c r="M42" i="2"/>
  <c r="K43" i="2"/>
  <c r="L43" i="2"/>
  <c r="M43" i="2"/>
  <c r="K44" i="2"/>
  <c r="L44" i="2"/>
  <c r="M44" i="2"/>
  <c r="K46" i="2"/>
  <c r="L46" i="2"/>
  <c r="M46" i="2"/>
  <c r="K47" i="2"/>
  <c r="L47" i="2"/>
  <c r="M47" i="2"/>
  <c r="K48" i="2"/>
  <c r="L48" i="2"/>
  <c r="M48" i="2"/>
  <c r="M37" i="2"/>
  <c r="L37" i="2"/>
  <c r="K37" i="2"/>
  <c r="O37" i="2" s="1"/>
  <c r="V37" i="2"/>
  <c r="S16" i="2"/>
  <c r="Q16" i="2"/>
  <c r="R16" i="2" s="1"/>
  <c r="Q15" i="2"/>
  <c r="R15" i="2" s="1"/>
  <c r="S15" i="2"/>
  <c r="S12" i="2"/>
  <c r="S11" i="2"/>
  <c r="Q14" i="2"/>
  <c r="S14" i="2"/>
  <c r="S13" i="2"/>
  <c r="Q13" i="2"/>
  <c r="R13" i="2" s="1"/>
  <c r="Q12" i="2"/>
  <c r="R12" i="2" s="1"/>
  <c r="Q11" i="2"/>
  <c r="R11" i="2" s="1"/>
  <c r="S10" i="2"/>
  <c r="Q10" i="2"/>
  <c r="I5" i="2"/>
  <c r="N5" i="2" s="1"/>
  <c r="I6" i="2"/>
  <c r="N6" i="2" s="1"/>
  <c r="I7" i="2"/>
  <c r="N7" i="2" s="1"/>
  <c r="I8" i="2"/>
  <c r="N8" i="2" s="1"/>
  <c r="I9" i="2"/>
  <c r="N9" i="2" s="1"/>
  <c r="I10" i="2"/>
  <c r="N10" i="2" s="1"/>
  <c r="I11" i="2"/>
  <c r="N11" i="2" s="1"/>
  <c r="I12" i="2"/>
  <c r="N12" i="2" s="1"/>
  <c r="I13" i="2"/>
  <c r="N13" i="2" s="1"/>
  <c r="I14" i="2"/>
  <c r="N14" i="2" s="1"/>
  <c r="I15" i="2"/>
  <c r="N15" i="2" s="1"/>
  <c r="I16" i="2"/>
  <c r="N16" i="2" s="1"/>
  <c r="I18" i="2"/>
  <c r="N18" i="2" s="1"/>
  <c r="I19" i="2"/>
  <c r="N19" i="2" s="1"/>
  <c r="I20" i="2"/>
  <c r="N20" i="2" s="1"/>
  <c r="I4" i="2"/>
  <c r="N4" i="2" s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N3" i="2"/>
  <c r="M3" i="2"/>
  <c r="R3" i="2"/>
  <c r="R4" i="2"/>
  <c r="R5" i="2"/>
  <c r="R6" i="2"/>
  <c r="R7" i="2"/>
  <c r="R8" i="2"/>
  <c r="R9" i="2"/>
  <c r="R10" i="2"/>
  <c r="R14" i="2"/>
  <c r="R18" i="2"/>
  <c r="R19" i="2"/>
  <c r="R20" i="2"/>
  <c r="R2" i="2"/>
  <c r="N2" i="2"/>
  <c r="M2" i="2"/>
  <c r="B50" i="1"/>
  <c r="H49" i="1"/>
  <c r="B49" i="1"/>
  <c r="H48" i="1"/>
  <c r="B48" i="1"/>
  <c r="H47" i="1"/>
  <c r="B47" i="1"/>
  <c r="H45" i="1"/>
  <c r="H44" i="1"/>
  <c r="H43" i="1"/>
  <c r="H42" i="1"/>
  <c r="H37" i="1"/>
  <c r="H36" i="1"/>
  <c r="H35" i="1"/>
  <c r="H34" i="1"/>
  <c r="H33" i="1"/>
  <c r="H32" i="1"/>
  <c r="H31" i="1"/>
  <c r="H30" i="1"/>
  <c r="H29" i="1"/>
  <c r="H28" i="1"/>
  <c r="H27" i="1"/>
  <c r="F27" i="1"/>
  <c r="H26" i="1"/>
  <c r="H25" i="1"/>
  <c r="H24" i="1"/>
  <c r="G10" i="1"/>
  <c r="G11" i="1" s="1"/>
  <c r="G8" i="1"/>
  <c r="G9" i="1" s="1"/>
  <c r="I13" i="1" s="1"/>
  <c r="G7" i="1"/>
  <c r="G6" i="1"/>
  <c r="G5" i="1"/>
  <c r="O48" i="2" l="1"/>
  <c r="O47" i="2"/>
  <c r="O46" i="2"/>
  <c r="O44" i="2"/>
  <c r="O43" i="2"/>
  <c r="O42" i="2"/>
  <c r="O41" i="2"/>
  <c r="O40" i="2"/>
  <c r="O39" i="2"/>
  <c r="O38" i="2"/>
  <c r="O51" i="2"/>
</calcChain>
</file>

<file path=xl/sharedStrings.xml><?xml version="1.0" encoding="utf-8"?>
<sst xmlns="http://schemas.openxmlformats.org/spreadsheetml/2006/main" count="198" uniqueCount="91">
  <si>
    <t>Vchannel</t>
  </si>
  <si>
    <t>m3</t>
  </si>
  <si>
    <t>Vdrop</t>
  </si>
  <si>
    <t>changing l impact the volume of water needed to be pished out in order to then form droplet. So per dropelt formation each vdrop we actually push out, for thisL,</t>
  </si>
  <si>
    <t xml:space="preserve">% extra </t>
  </si>
  <si>
    <t>time</t>
  </si>
  <si>
    <t xml:space="preserve">Frame </t>
  </si>
  <si>
    <t>L</t>
  </si>
  <si>
    <t>Drop</t>
  </si>
  <si>
    <t>receeding</t>
  </si>
  <si>
    <t>D</t>
  </si>
  <si>
    <t>edge</t>
  </si>
  <si>
    <t>Start</t>
  </si>
  <si>
    <t>End</t>
  </si>
  <si>
    <t xml:space="preserve">% </t>
  </si>
  <si>
    <t>Event</t>
  </si>
  <si>
    <t>pushing water out -&gt; oil out over the step</t>
  </si>
  <si>
    <t xml:space="preserve">Necking/pinch off, oil bulb grows </t>
  </si>
  <si>
    <t xml:space="preserve">Droplet formation </t>
  </si>
  <si>
    <t>last neck</t>
  </si>
  <si>
    <t>Device</t>
  </si>
  <si>
    <t>Production Date</t>
  </si>
  <si>
    <t>Testing Date</t>
  </si>
  <si>
    <t>Qw (ml/hr)</t>
  </si>
  <si>
    <t>Po (mbar)</t>
  </si>
  <si>
    <t>DFU(x)</t>
  </si>
  <si>
    <t>Stage 1 f_start</t>
  </si>
  <si>
    <t>Stage 1 f_end</t>
  </si>
  <si>
    <t>Stage 2 f_start</t>
  </si>
  <si>
    <t>Stage 2 f_end</t>
  </si>
  <si>
    <t>Stage3 f_start</t>
  </si>
  <si>
    <t>Stage3 f_end</t>
  </si>
  <si>
    <t>Stage 1 (t)</t>
  </si>
  <si>
    <t>Stage 2 (t)</t>
  </si>
  <si>
    <t>Stage 3 (t)</t>
  </si>
  <si>
    <t>L_men calc</t>
  </si>
  <si>
    <t>L_men</t>
  </si>
  <si>
    <t>D_drop</t>
  </si>
  <si>
    <t>Notes</t>
  </si>
  <si>
    <t>W11_4_1*</t>
  </si>
  <si>
    <t>1aa</t>
  </si>
  <si>
    <t xml:space="preserve">For all DFU(1) Growth to pinsh off and release only 1-2 time steps. 0.04-0.08s. Final neck approx 5um wide </t>
  </si>
  <si>
    <t>1ab</t>
  </si>
  <si>
    <t>1ba</t>
  </si>
  <si>
    <t xml:space="preserve">I think were counting stage 2 as stage 1 time.  Stage 1 shoudlnt begin as the oil hits the edge of the plateau ratherwhere the bulb growth begins. Here, oil is flowing over the edge but remains as a menisucs, no necking begins until the end of 'stage 2' timing where necking and breakup happens instantly 0.08s&gt;. </t>
  </si>
  <si>
    <t>1bb</t>
  </si>
  <si>
    <t>1_start aa</t>
  </si>
  <si>
    <t>1_start ab</t>
  </si>
  <si>
    <t>1_start ba</t>
  </si>
  <si>
    <t>1_start bb</t>
  </si>
  <si>
    <t>3aa</t>
  </si>
  <si>
    <t>5aa</t>
  </si>
  <si>
    <t>5ab</t>
  </si>
  <si>
    <t>5ba</t>
  </si>
  <si>
    <t>5bb</t>
  </si>
  <si>
    <t>7aa</t>
  </si>
  <si>
    <t>Need to measure from meniscus point to edge? For better comapre? Menisus is much flatter on 10um design.</t>
  </si>
  <si>
    <t>7ba</t>
  </si>
  <si>
    <t xml:space="preserve">Stage 2 is near instantaneous. Necking was hard to capture. See image bleow. Necking phase is still occuring…wider crit neck vs 30um design? </t>
  </si>
  <si>
    <t>total</t>
  </si>
  <si>
    <t>lmenpoint calc</t>
  </si>
  <si>
    <t>L_menpoint</t>
  </si>
  <si>
    <t>Lpinch calc</t>
  </si>
  <si>
    <t>Lpinch</t>
  </si>
  <si>
    <t>V5_30_3_3</t>
  </si>
  <si>
    <t>0a</t>
  </si>
  <si>
    <t>ncrit approx 5-10um</t>
  </si>
  <si>
    <t>0b</t>
  </si>
  <si>
    <t>3a</t>
  </si>
  <si>
    <t>4a</t>
  </si>
  <si>
    <t>4b</t>
  </si>
  <si>
    <t>6a</t>
  </si>
  <si>
    <t>8a</t>
  </si>
  <si>
    <t>all jucntions have pinch off with flow via leading wall</t>
  </si>
  <si>
    <t>10a</t>
  </si>
  <si>
    <t>1a</t>
  </si>
  <si>
    <t xml:space="preserve">Pinch length not a good measurement due to inconsistency in symetry </t>
  </si>
  <si>
    <t>3b</t>
  </si>
  <si>
    <t>9a</t>
  </si>
  <si>
    <t>10b</t>
  </si>
  <si>
    <t>1b</t>
  </si>
  <si>
    <t>2a</t>
  </si>
  <si>
    <t>6aa</t>
  </si>
  <si>
    <t>6ab</t>
  </si>
  <si>
    <t>8b</t>
  </si>
  <si>
    <t>3c</t>
  </si>
  <si>
    <t>5a</t>
  </si>
  <si>
    <t>6b</t>
  </si>
  <si>
    <t>meniscus flattening 1 timestep</t>
  </si>
  <si>
    <t>a</t>
  </si>
  <si>
    <t xml:space="preserve">Clearly see the inflow of cont. up to where the neck actualyl forms from up the channel = make a gif?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</si>
</sst>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2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538299</xdr:colOff>
      <xdr:row>18</xdr:row>
      <xdr:rowOff>135255</xdr:rowOff>
    </xdr:from>
    <xdr:to>
      <xdr:col>24</xdr:col>
      <xdr:colOff>211362</xdr:colOff>
      <xdr:row>27</xdr:row>
      <xdr:rowOff>129766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A6C5D1-56A8-F3EF-0DAA-497D45AD0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25799" y="3319326"/>
          <a:ext cx="3241945" cy="1582737"/>
        </a:xfrm>
        <a:prstGeom prst="rect">
          <a:avLst/>
        </a:prstGeom>
      </xdr:spPr>
    </xdr:pic>
    <xdr:clientData/>
  </xdr:twoCellAnchor>
  <xdr:twoCellAnchor>
    <xdr:from>
      <xdr:col>25</xdr:col>
      <xdr:colOff>315339</xdr:colOff>
      <xdr:row>18</xdr:row>
      <xdr:rowOff>93864</xdr:rowOff>
    </xdr:from>
    <xdr:to>
      <xdr:col>43</xdr:col>
      <xdr:colOff>382707</xdr:colOff>
      <xdr:row>32</xdr:row>
      <xdr:rowOff>172846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A70FF1F0-D8EC-C5C2-1B0A-D188A51DA401}"/>
            </a:ext>
          </a:extLst>
        </xdr:cNvPr>
        <xdr:cNvGrpSpPr/>
      </xdr:nvGrpSpPr>
      <xdr:grpSpPr>
        <a:xfrm>
          <a:off x="19022439" y="3351414"/>
          <a:ext cx="11040168" cy="2612632"/>
          <a:chOff x="13385049" y="6645852"/>
          <a:chExt cx="10974013" cy="2490192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B1D63414-1698-8949-D96C-C7C5EF561D6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21337" r="33967"/>
          <a:stretch>
            <a:fillRect/>
          </a:stretch>
        </xdr:blipFill>
        <xdr:spPr>
          <a:xfrm>
            <a:off x="13385049" y="6645852"/>
            <a:ext cx="2482215" cy="2457286"/>
          </a:xfrm>
          <a:prstGeom prst="rect">
            <a:avLst/>
          </a:prstGeom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0CBC9B02-5093-0F33-AA69-26153DC8309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18996" r="37473"/>
          <a:stretch>
            <a:fillRect/>
          </a:stretch>
        </xdr:blipFill>
        <xdr:spPr>
          <a:xfrm>
            <a:off x="16026938" y="6766906"/>
            <a:ext cx="2432338" cy="2350767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A7F7EC8C-881B-8DF7-9467-5C986B65665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l="17454" r="33516"/>
          <a:stretch>
            <a:fillRect/>
          </a:stretch>
        </xdr:blipFill>
        <xdr:spPr>
          <a:xfrm>
            <a:off x="18757496" y="6707678"/>
            <a:ext cx="2797753" cy="2422992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5E68CC6A-B496-ACC3-1FB3-43AFA45C671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/>
          <a:srcRect l="23854" r="27816"/>
          <a:stretch>
            <a:fillRect/>
          </a:stretch>
        </xdr:blipFill>
        <xdr:spPr>
          <a:xfrm>
            <a:off x="21672666" y="6682568"/>
            <a:ext cx="2686396" cy="2453476"/>
          </a:xfrm>
          <a:prstGeom prst="rect">
            <a:avLst/>
          </a:prstGeom>
        </xdr:spPr>
      </xdr:pic>
    </xdr:grpSp>
    <xdr:clientData/>
  </xdr:twoCellAnchor>
  <xdr:twoCellAnchor editAs="oneCell">
    <xdr:from>
      <xdr:col>30</xdr:col>
      <xdr:colOff>161381</xdr:colOff>
      <xdr:row>34</xdr:row>
      <xdr:rowOff>151583</xdr:rowOff>
    </xdr:from>
    <xdr:to>
      <xdr:col>35</xdr:col>
      <xdr:colOff>285378</xdr:colOff>
      <xdr:row>65</xdr:row>
      <xdr:rowOff>170311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8DC47A5-DFE9-C36D-F2B2-9A363E1F9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919202" y="6165940"/>
          <a:ext cx="3195130" cy="5498597"/>
        </a:xfrm>
        <a:prstGeom prst="rect">
          <a:avLst/>
        </a:prstGeom>
      </xdr:spPr>
    </xdr:pic>
    <xdr:clientData/>
  </xdr:twoCellAnchor>
  <xdr:twoCellAnchor editAs="oneCell">
    <xdr:from>
      <xdr:col>35</xdr:col>
      <xdr:colOff>421822</xdr:colOff>
      <xdr:row>35</xdr:row>
      <xdr:rowOff>27213</xdr:rowOff>
    </xdr:from>
    <xdr:to>
      <xdr:col>41</xdr:col>
      <xdr:colOff>116405</xdr:colOff>
      <xdr:row>65</xdr:row>
      <xdr:rowOff>60888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6775398-47B0-CFCB-B858-77514EE2F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241251" y="6218463"/>
          <a:ext cx="3368511" cy="5344271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75</xdr:row>
      <xdr:rowOff>0</xdr:rowOff>
    </xdr:from>
    <xdr:to>
      <xdr:col>34</xdr:col>
      <xdr:colOff>371475</xdr:colOff>
      <xdr:row>100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017B60-DBED-27F8-300E-8F8037D64347}"/>
            </a:ext>
            <a:ext uri="{147F2762-F138-4A5C-976F-8EAC2B608ADB}">
              <a16:predDERef xmlns:a16="http://schemas.microsoft.com/office/drawing/2014/main" pred="{A6775398-47B0-CFCB-B858-77514EE2F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793075" y="13573125"/>
          <a:ext cx="3419475" cy="4572000"/>
        </a:xfrm>
        <a:prstGeom prst="rect">
          <a:avLst/>
        </a:prstGeom>
      </xdr:spPr>
    </xdr:pic>
    <xdr:clientData/>
  </xdr:twoCellAnchor>
  <xdr:twoCellAnchor editAs="oneCell">
    <xdr:from>
      <xdr:col>34</xdr:col>
      <xdr:colOff>419100</xdr:colOff>
      <xdr:row>75</xdr:row>
      <xdr:rowOff>57150</xdr:rowOff>
    </xdr:from>
    <xdr:to>
      <xdr:col>40</xdr:col>
      <xdr:colOff>133350</xdr:colOff>
      <xdr:row>100</xdr:row>
      <xdr:rowOff>104775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8824F4D-B15C-ABD1-6719-9A07FF947660}"/>
            </a:ext>
            <a:ext uri="{147F2762-F138-4A5C-976F-8EAC2B608ADB}">
              <a16:predDERef xmlns:a16="http://schemas.microsoft.com/office/drawing/2014/main" pred="{24017B60-DBED-27F8-300E-8F8037D64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260175" y="13630275"/>
          <a:ext cx="3371850" cy="457200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104</xdr:row>
      <xdr:rowOff>0</xdr:rowOff>
    </xdr:from>
    <xdr:to>
      <xdr:col>33</xdr:col>
      <xdr:colOff>381000</xdr:colOff>
      <xdr:row>123</xdr:row>
      <xdr:rowOff>123825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6265E7E-F5D1-A3E9-CF72-14E10B9904B9}"/>
            </a:ext>
            <a:ext uri="{147F2762-F138-4A5C-976F-8EAC2B608ADB}">
              <a16:predDERef xmlns:a16="http://schemas.microsoft.com/office/drawing/2014/main" pred="{E8824F4D-B15C-ABD1-6719-9A07FF947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793075" y="18821400"/>
          <a:ext cx="2819400" cy="3562350"/>
        </a:xfrm>
        <a:prstGeom prst="rect">
          <a:avLst/>
        </a:prstGeom>
      </xdr:spPr>
    </xdr:pic>
    <xdr:clientData/>
  </xdr:twoCellAnchor>
  <xdr:twoCellAnchor editAs="oneCell">
    <xdr:from>
      <xdr:col>33</xdr:col>
      <xdr:colOff>438150</xdr:colOff>
      <xdr:row>103</xdr:row>
      <xdr:rowOff>19050</xdr:rowOff>
    </xdr:from>
    <xdr:to>
      <xdr:col>39</xdr:col>
      <xdr:colOff>142875</xdr:colOff>
      <xdr:row>126</xdr:row>
      <xdr:rowOff>123825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34CE06E-364D-7051-9E15-1B5733AC193B}"/>
            </a:ext>
            <a:ext uri="{147F2762-F138-4A5C-976F-8EAC2B608ADB}">
              <a16:predDERef xmlns:a16="http://schemas.microsoft.com/office/drawing/2014/main" pred="{76265E7E-F5D1-A3E9-CF72-14E10B990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3669625" y="18659475"/>
          <a:ext cx="3362325" cy="426720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130</xdr:row>
      <xdr:rowOff>0</xdr:rowOff>
    </xdr:from>
    <xdr:to>
      <xdr:col>33</xdr:col>
      <xdr:colOff>228600</xdr:colOff>
      <xdr:row>150</xdr:row>
      <xdr:rowOff>19050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2573FB4-3C8B-E882-DA2F-9057C781C118}"/>
            </a:ext>
            <a:ext uri="{147F2762-F138-4A5C-976F-8EAC2B608ADB}">
              <a16:predDERef xmlns:a16="http://schemas.microsoft.com/office/drawing/2014/main" pred="{D34CE06E-364D-7051-9E15-1B5733AC1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793075" y="23526750"/>
          <a:ext cx="2667000" cy="3638550"/>
        </a:xfrm>
        <a:prstGeom prst="rect">
          <a:avLst/>
        </a:prstGeom>
      </xdr:spPr>
    </xdr:pic>
    <xdr:clientData/>
  </xdr:twoCellAnchor>
  <xdr:twoCellAnchor editAs="oneCell">
    <xdr:from>
      <xdr:col>33</xdr:col>
      <xdr:colOff>514350</xdr:colOff>
      <xdr:row>129</xdr:row>
      <xdr:rowOff>114300</xdr:rowOff>
    </xdr:from>
    <xdr:to>
      <xdr:col>38</xdr:col>
      <xdr:colOff>190500</xdr:colOff>
      <xdr:row>152</xdr:row>
      <xdr:rowOff>133350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D8BCFD2-E644-B57B-E439-49B43CDFA680}"/>
            </a:ext>
            <a:ext uri="{147F2762-F138-4A5C-976F-8EAC2B608ADB}">
              <a16:predDERef xmlns:a16="http://schemas.microsoft.com/office/drawing/2014/main" pred="{E2573FB4-3C8B-E882-DA2F-9057C781C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3745825" y="23460075"/>
          <a:ext cx="2724150" cy="4181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AFDBA-3726-426A-A798-FD6BA1282B1C}">
  <dimension ref="B3:M50"/>
  <sheetViews>
    <sheetView topLeftCell="A19" workbookViewId="0">
      <selection activeCell="H28" sqref="H28"/>
    </sheetView>
  </sheetViews>
  <sheetFormatPr defaultRowHeight="14.45"/>
  <sheetData>
    <row r="3" spans="6:10">
      <c r="G3" s="1">
        <v>1.2E-5</v>
      </c>
    </row>
    <row r="5" spans="6:10">
      <c r="G5">
        <f>0.000005</f>
        <v>5.0000000000000004E-6</v>
      </c>
    </row>
    <row r="6" spans="6:10">
      <c r="G6">
        <f>0.000015</f>
        <v>1.5E-5</v>
      </c>
    </row>
    <row r="7" spans="6:10">
      <c r="G7">
        <f>0.00001</f>
        <v>1.0000000000000001E-5</v>
      </c>
    </row>
    <row r="8" spans="6:10">
      <c r="F8" t="s">
        <v>0</v>
      </c>
      <c r="G8">
        <f>G5*G6*G7</f>
        <v>7.5000000000000016E-16</v>
      </c>
      <c r="H8" t="s">
        <v>1</v>
      </c>
    </row>
    <row r="9" spans="6:10">
      <c r="G9">
        <f>G8*1000000000000000000</f>
        <v>750.00000000000011</v>
      </c>
    </row>
    <row r="10" spans="6:10">
      <c r="F10" t="s">
        <v>2</v>
      </c>
      <c r="G10">
        <f>(4/3)*PI()*(G3/2)^3</f>
        <v>9.0477868423386058E-16</v>
      </c>
      <c r="H10" t="s">
        <v>1</v>
      </c>
    </row>
    <row r="11" spans="6:10">
      <c r="G11">
        <f>G10*1000000000000000000</f>
        <v>904.77868423386053</v>
      </c>
    </row>
    <row r="12" spans="6:10">
      <c r="I12" t="s">
        <v>3</v>
      </c>
    </row>
    <row r="13" spans="6:10">
      <c r="I13">
        <f>G9/(G11+G9)</f>
        <v>0.45323281424019529</v>
      </c>
      <c r="J13" t="s">
        <v>4</v>
      </c>
    </row>
    <row r="20" spans="5:13">
      <c r="M20">
        <v>-16.042999999999999</v>
      </c>
    </row>
    <row r="22" spans="5:13">
      <c r="H22" t="s">
        <v>5</v>
      </c>
      <c r="I22" t="s">
        <v>6</v>
      </c>
      <c r="J22" t="s">
        <v>7</v>
      </c>
      <c r="K22" t="s">
        <v>8</v>
      </c>
    </row>
    <row r="23" spans="5:13">
      <c r="I23">
        <v>26</v>
      </c>
      <c r="J23" t="s">
        <v>9</v>
      </c>
      <c r="K23">
        <v>25.3</v>
      </c>
    </row>
    <row r="24" spans="5:13">
      <c r="H24">
        <f>(I24-$V$24)/25</f>
        <v>1.08</v>
      </c>
      <c r="I24">
        <v>27</v>
      </c>
      <c r="J24">
        <v>32.200000000000003</v>
      </c>
    </row>
    <row r="25" spans="5:13">
      <c r="E25" t="s">
        <v>10</v>
      </c>
      <c r="F25">
        <v>43.5</v>
      </c>
      <c r="H25">
        <f t="shared" ref="H25:H37" si="0">(I25-$V$24)/25</f>
        <v>1.2</v>
      </c>
      <c r="I25">
        <v>30</v>
      </c>
      <c r="J25">
        <v>31.08</v>
      </c>
    </row>
    <row r="26" spans="5:13">
      <c r="E26">
        <v>1</v>
      </c>
      <c r="F26">
        <v>30</v>
      </c>
      <c r="H26">
        <f t="shared" si="0"/>
        <v>1.4</v>
      </c>
      <c r="I26">
        <v>35</v>
      </c>
      <c r="J26">
        <v>29.96</v>
      </c>
    </row>
    <row r="27" spans="5:13">
      <c r="E27">
        <v>2</v>
      </c>
      <c r="F27">
        <f>SQRT((F25^2)-(F26^2))</f>
        <v>31.5</v>
      </c>
      <c r="H27">
        <f t="shared" si="0"/>
        <v>1.6</v>
      </c>
      <c r="I27">
        <v>40</v>
      </c>
      <c r="J27">
        <v>26.75</v>
      </c>
    </row>
    <row r="28" spans="5:13">
      <c r="H28">
        <f t="shared" si="0"/>
        <v>1.8</v>
      </c>
      <c r="I28">
        <v>45</v>
      </c>
      <c r="J28">
        <v>23.81</v>
      </c>
    </row>
    <row r="29" spans="5:13">
      <c r="H29">
        <f t="shared" si="0"/>
        <v>2</v>
      </c>
      <c r="I29">
        <v>50</v>
      </c>
      <c r="J29">
        <v>20.8</v>
      </c>
    </row>
    <row r="30" spans="5:13">
      <c r="H30">
        <f t="shared" si="0"/>
        <v>2.2000000000000002</v>
      </c>
      <c r="I30">
        <v>55</v>
      </c>
      <c r="J30">
        <v>15.57</v>
      </c>
    </row>
    <row r="31" spans="5:13">
      <c r="H31">
        <f t="shared" si="0"/>
        <v>2.4</v>
      </c>
      <c r="I31">
        <v>60</v>
      </c>
      <c r="J31">
        <v>12.75</v>
      </c>
    </row>
    <row r="32" spans="5:13">
      <c r="H32">
        <f t="shared" si="0"/>
        <v>2.48</v>
      </c>
      <c r="I32">
        <v>62</v>
      </c>
      <c r="J32">
        <v>9.6</v>
      </c>
      <c r="K32" t="s">
        <v>11</v>
      </c>
    </row>
    <row r="33" spans="2:11">
      <c r="H33">
        <f>(I33-$V$24)/25</f>
        <v>2.88</v>
      </c>
      <c r="I33">
        <v>72</v>
      </c>
    </row>
    <row r="34" spans="2:11">
      <c r="H34">
        <f t="shared" si="0"/>
        <v>3.04</v>
      </c>
      <c r="I34">
        <v>76</v>
      </c>
    </row>
    <row r="35" spans="2:11">
      <c r="H35">
        <f t="shared" si="0"/>
        <v>0</v>
      </c>
    </row>
    <row r="36" spans="2:11">
      <c r="H36">
        <f t="shared" si="0"/>
        <v>3.2</v>
      </c>
      <c r="I36">
        <v>80</v>
      </c>
      <c r="J36">
        <v>52.5</v>
      </c>
      <c r="K36">
        <v>24.5</v>
      </c>
    </row>
    <row r="37" spans="2:11">
      <c r="H37">
        <f t="shared" si="0"/>
        <v>3.24</v>
      </c>
      <c r="I37">
        <v>81</v>
      </c>
      <c r="J37">
        <v>33.9</v>
      </c>
      <c r="K37">
        <v>25.4</v>
      </c>
    </row>
    <row r="41" spans="2:11">
      <c r="F41" t="s">
        <v>12</v>
      </c>
      <c r="G41" t="s">
        <v>13</v>
      </c>
      <c r="H41" t="s">
        <v>14</v>
      </c>
      <c r="I41" t="s">
        <v>15</v>
      </c>
    </row>
    <row r="42" spans="2:11">
      <c r="F42">
        <v>0</v>
      </c>
      <c r="G42">
        <v>1.84</v>
      </c>
      <c r="H42" s="2" t="e">
        <f>(G42-F42)/$T$44</f>
        <v>#DIV/0!</v>
      </c>
      <c r="I42" t="s">
        <v>16</v>
      </c>
    </row>
    <row r="43" spans="2:11">
      <c r="F43">
        <v>1.84</v>
      </c>
      <c r="G43">
        <v>2.12</v>
      </c>
      <c r="H43" s="2" t="e">
        <f>(G43-F43)/$T$44</f>
        <v>#DIV/0!</v>
      </c>
      <c r="I43" t="s">
        <v>17</v>
      </c>
    </row>
    <row r="44" spans="2:11">
      <c r="F44">
        <v>2.12</v>
      </c>
      <c r="G44">
        <v>2.16</v>
      </c>
      <c r="H44" s="2" t="e">
        <f>(G44-F44)/$T$44</f>
        <v>#DIV/0!</v>
      </c>
      <c r="I44" t="s">
        <v>18</v>
      </c>
    </row>
    <row r="45" spans="2:11">
      <c r="H45" t="e">
        <f>SUM(H42:H44)</f>
        <v>#DIV/0!</v>
      </c>
    </row>
    <row r="46" spans="2:11">
      <c r="F46" t="s">
        <v>12</v>
      </c>
      <c r="G46" t="s">
        <v>13</v>
      </c>
      <c r="H46" t="s">
        <v>14</v>
      </c>
      <c r="I46" t="s">
        <v>15</v>
      </c>
    </row>
    <row r="47" spans="2:11">
      <c r="B47">
        <f>(C47-$P$47)/25</f>
        <v>1.2</v>
      </c>
      <c r="C47">
        <v>30</v>
      </c>
      <c r="D47">
        <v>34.200000000000003</v>
      </c>
      <c r="F47">
        <v>0</v>
      </c>
      <c r="G47">
        <v>0.84</v>
      </c>
      <c r="H47" s="2" t="e">
        <f>(G47-F47)/$T$49</f>
        <v>#DIV/0!</v>
      </c>
      <c r="I47" t="s">
        <v>16</v>
      </c>
    </row>
    <row r="48" spans="2:11">
      <c r="B48">
        <f>(C48-$P$47)/25</f>
        <v>2.04</v>
      </c>
      <c r="C48">
        <v>51</v>
      </c>
      <c r="D48">
        <v>8.92</v>
      </c>
      <c r="F48">
        <v>0.84</v>
      </c>
      <c r="G48">
        <v>1</v>
      </c>
      <c r="H48" s="2" t="e">
        <f>(G48-F48)/$T$49</f>
        <v>#DIV/0!</v>
      </c>
      <c r="I48" t="s">
        <v>17</v>
      </c>
    </row>
    <row r="49" spans="2:9">
      <c r="B49">
        <f>(C49-$P$47)/25</f>
        <v>2.2000000000000002</v>
      </c>
      <c r="C49">
        <v>55</v>
      </c>
      <c r="D49">
        <v>49.6</v>
      </c>
      <c r="E49" t="s">
        <v>19</v>
      </c>
      <c r="F49">
        <v>1</v>
      </c>
      <c r="G49">
        <v>1.04</v>
      </c>
      <c r="H49" s="2" t="e">
        <f>(G49-F49)/$T$49</f>
        <v>#DIV/0!</v>
      </c>
      <c r="I49" t="s">
        <v>18</v>
      </c>
    </row>
    <row r="50" spans="2:9">
      <c r="B50">
        <f>(C50-$P$47)/25</f>
        <v>2.2400000000000002</v>
      </c>
      <c r="C50">
        <v>56</v>
      </c>
      <c r="D50">
        <v>31.5</v>
      </c>
      <c r="E50">
        <v>25.3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AC679-D78A-47F2-9C50-DE4788D7B60D}">
  <dimension ref="A1:AE153"/>
  <sheetViews>
    <sheetView tabSelected="1" topLeftCell="A31" zoomScale="70" zoomScaleNormal="70" workbookViewId="0">
      <selection activeCell="A81" sqref="A81"/>
    </sheetView>
  </sheetViews>
  <sheetFormatPr defaultRowHeight="14.45"/>
  <cols>
    <col min="1" max="1" width="14.42578125" customWidth="1"/>
    <col min="2" max="2" width="14.85546875" bestFit="1" customWidth="1"/>
    <col min="3" max="5" width="12.7109375" bestFit="1" customWidth="1"/>
    <col min="6" max="6" width="11.85546875" bestFit="1" customWidth="1"/>
    <col min="7" max="8" width="9.28515625" bestFit="1" customWidth="1"/>
    <col min="9" max="9" width="16.28515625" bestFit="1" customWidth="1"/>
    <col min="10" max="11" width="14.140625" bestFit="1" customWidth="1"/>
    <col min="19" max="19" width="12.28515625" bestFit="1" customWidth="1"/>
    <col min="20" max="20" width="13.140625" customWidth="1"/>
    <col min="21" max="21" width="12.140625" bestFit="1" customWidth="1"/>
  </cols>
  <sheetData>
    <row r="1" spans="1:20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Q1" t="s">
        <v>35</v>
      </c>
      <c r="R1" t="s">
        <v>36</v>
      </c>
      <c r="S1" t="s">
        <v>37</v>
      </c>
      <c r="T1" t="s">
        <v>38</v>
      </c>
    </row>
    <row r="2" spans="1:20">
      <c r="A2" t="s">
        <v>39</v>
      </c>
      <c r="B2" s="3">
        <v>46080</v>
      </c>
      <c r="C2" s="3">
        <v>46093</v>
      </c>
      <c r="D2">
        <v>0.2</v>
      </c>
      <c r="E2">
        <v>50</v>
      </c>
      <c r="F2" t="s">
        <v>40</v>
      </c>
      <c r="G2">
        <v>99</v>
      </c>
      <c r="H2">
        <v>173</v>
      </c>
      <c r="I2">
        <v>173</v>
      </c>
      <c r="J2">
        <v>201</v>
      </c>
      <c r="M2">
        <f>(H2-G2)/25</f>
        <v>2.96</v>
      </c>
      <c r="N2">
        <f>(J2-I2)/25</f>
        <v>1.1200000000000001</v>
      </c>
      <c r="Q2">
        <v>14.1</v>
      </c>
      <c r="R2">
        <f>SQRT((Q2^2)-(10^2))</f>
        <v>9.9403219263764289</v>
      </c>
      <c r="T2" t="s">
        <v>41</v>
      </c>
    </row>
    <row r="3" spans="1:20">
      <c r="A3" t="s">
        <v>39</v>
      </c>
      <c r="B3" s="3">
        <v>46080</v>
      </c>
      <c r="C3" s="3">
        <v>46093</v>
      </c>
      <c r="D3">
        <v>0.2</v>
      </c>
      <c r="E3">
        <v>50</v>
      </c>
      <c r="F3" t="s">
        <v>42</v>
      </c>
      <c r="G3">
        <v>519</v>
      </c>
      <c r="H3">
        <v>598</v>
      </c>
      <c r="I3">
        <v>598</v>
      </c>
      <c r="J3">
        <v>629</v>
      </c>
      <c r="M3">
        <f>(H3-G3)/25</f>
        <v>3.16</v>
      </c>
      <c r="N3">
        <f>(J3-I3)/25</f>
        <v>1.24</v>
      </c>
      <c r="Q3">
        <v>15.6</v>
      </c>
      <c r="R3">
        <f t="shared" ref="R3:R20" si="0">SQRT((Q3^2)-(10^2))</f>
        <v>11.973303637676612</v>
      </c>
    </row>
    <row r="4" spans="1:20">
      <c r="A4" t="s">
        <v>39</v>
      </c>
      <c r="B4" s="3">
        <v>46080</v>
      </c>
      <c r="C4" s="3">
        <v>46093</v>
      </c>
      <c r="D4">
        <v>0.2</v>
      </c>
      <c r="E4">
        <v>50</v>
      </c>
      <c r="F4" t="s">
        <v>43</v>
      </c>
      <c r="G4">
        <v>78</v>
      </c>
      <c r="H4">
        <v>162</v>
      </c>
      <c r="I4">
        <f>H4</f>
        <v>162</v>
      </c>
      <c r="J4">
        <v>191</v>
      </c>
      <c r="M4">
        <f>(H4-G4)/25</f>
        <v>3.36</v>
      </c>
      <c r="N4">
        <f>(J4-I4)/25</f>
        <v>1.1599999999999999</v>
      </c>
      <c r="Q4">
        <v>16.100000000000001</v>
      </c>
      <c r="R4">
        <f t="shared" si="0"/>
        <v>12.617844506887856</v>
      </c>
      <c r="T4" t="s">
        <v>44</v>
      </c>
    </row>
    <row r="5" spans="1:20">
      <c r="A5" t="s">
        <v>39</v>
      </c>
      <c r="B5" s="3">
        <v>46080</v>
      </c>
      <c r="C5" s="3">
        <v>46093</v>
      </c>
      <c r="D5">
        <v>0.2</v>
      </c>
      <c r="E5">
        <v>50</v>
      </c>
      <c r="F5" t="s">
        <v>45</v>
      </c>
      <c r="G5">
        <v>303</v>
      </c>
      <c r="H5">
        <v>385</v>
      </c>
      <c r="I5">
        <f t="shared" ref="I5:I20" si="1">H5</f>
        <v>385</v>
      </c>
      <c r="J5">
        <v>415</v>
      </c>
      <c r="M5">
        <f>(H5-G5)/25</f>
        <v>3.28</v>
      </c>
      <c r="N5">
        <f>(J5-I5)/25</f>
        <v>1.2</v>
      </c>
      <c r="Q5">
        <v>15.4</v>
      </c>
      <c r="R5">
        <f t="shared" si="0"/>
        <v>11.711532777565882</v>
      </c>
    </row>
    <row r="6" spans="1:20">
      <c r="A6" t="s">
        <v>39</v>
      </c>
      <c r="B6" s="3">
        <v>46080</v>
      </c>
      <c r="C6" s="3">
        <v>46093</v>
      </c>
      <c r="D6">
        <v>0.2</v>
      </c>
      <c r="E6">
        <v>50</v>
      </c>
      <c r="F6" t="s">
        <v>46</v>
      </c>
      <c r="G6">
        <v>61</v>
      </c>
      <c r="H6">
        <v>104</v>
      </c>
      <c r="I6">
        <f t="shared" si="1"/>
        <v>104</v>
      </c>
      <c r="J6">
        <v>116</v>
      </c>
      <c r="M6">
        <f>(H6-G6)/25</f>
        <v>1.72</v>
      </c>
      <c r="N6">
        <f>(J6-I6)/25</f>
        <v>0.48</v>
      </c>
      <c r="Q6">
        <v>13.5</v>
      </c>
      <c r="R6">
        <f t="shared" si="0"/>
        <v>9.0691785736085269</v>
      </c>
      <c r="S6">
        <v>9</v>
      </c>
    </row>
    <row r="7" spans="1:20">
      <c r="A7" t="s">
        <v>39</v>
      </c>
      <c r="B7" s="3">
        <v>46080</v>
      </c>
      <c r="C7" s="3">
        <v>46093</v>
      </c>
      <c r="D7">
        <v>0.2</v>
      </c>
      <c r="E7">
        <v>50</v>
      </c>
      <c r="F7" t="s">
        <v>47</v>
      </c>
      <c r="G7">
        <v>116</v>
      </c>
      <c r="H7">
        <v>156</v>
      </c>
      <c r="I7">
        <f t="shared" si="1"/>
        <v>156</v>
      </c>
      <c r="J7">
        <v>173</v>
      </c>
      <c r="M7">
        <f>(H7-G7)/25</f>
        <v>1.6</v>
      </c>
      <c r="N7">
        <f>(J7-I7)/25</f>
        <v>0.68</v>
      </c>
      <c r="Q7">
        <v>15.1</v>
      </c>
      <c r="R7">
        <f t="shared" si="0"/>
        <v>11.314150432091663</v>
      </c>
      <c r="S7">
        <v>9.1</v>
      </c>
    </row>
    <row r="8" spans="1:20">
      <c r="A8" t="s">
        <v>39</v>
      </c>
      <c r="B8" s="3">
        <v>46080</v>
      </c>
      <c r="C8" s="3">
        <v>46093</v>
      </c>
      <c r="D8">
        <v>0.2</v>
      </c>
      <c r="E8">
        <v>50</v>
      </c>
      <c r="F8" t="s">
        <v>48</v>
      </c>
      <c r="G8">
        <v>49</v>
      </c>
      <c r="H8">
        <v>89</v>
      </c>
      <c r="I8">
        <f t="shared" si="1"/>
        <v>89</v>
      </c>
      <c r="J8">
        <v>107</v>
      </c>
      <c r="M8">
        <f>(H8-G8)/25</f>
        <v>1.6</v>
      </c>
      <c r="N8">
        <f>(J8-I8)/25</f>
        <v>0.72</v>
      </c>
      <c r="Q8">
        <v>13.7</v>
      </c>
      <c r="R8">
        <f t="shared" si="0"/>
        <v>9.3642938868875731</v>
      </c>
      <c r="S8">
        <v>9.1999999999999993</v>
      </c>
    </row>
    <row r="9" spans="1:20">
      <c r="A9" t="s">
        <v>39</v>
      </c>
      <c r="B9" s="3">
        <v>46080</v>
      </c>
      <c r="C9" s="3">
        <v>46093</v>
      </c>
      <c r="D9">
        <v>0.2</v>
      </c>
      <c r="E9">
        <v>50</v>
      </c>
      <c r="F9" t="s">
        <v>49</v>
      </c>
      <c r="G9">
        <v>107</v>
      </c>
      <c r="H9">
        <v>148</v>
      </c>
      <c r="I9">
        <f t="shared" si="1"/>
        <v>148</v>
      </c>
      <c r="J9">
        <v>166</v>
      </c>
      <c r="M9">
        <f>(H9-G9)/25</f>
        <v>1.64</v>
      </c>
      <c r="N9">
        <f>(J9-I9)/25</f>
        <v>0.72</v>
      </c>
      <c r="Q9">
        <v>14.7</v>
      </c>
      <c r="R9">
        <f t="shared" si="0"/>
        <v>10.774506949276146</v>
      </c>
      <c r="S9">
        <v>9.1999999999999993</v>
      </c>
    </row>
    <row r="10" spans="1:20">
      <c r="A10" t="s">
        <v>39</v>
      </c>
      <c r="B10" s="3">
        <v>46080</v>
      </c>
      <c r="C10" s="3">
        <v>46093</v>
      </c>
      <c r="D10">
        <v>0.2</v>
      </c>
      <c r="E10">
        <v>50</v>
      </c>
      <c r="F10" t="s">
        <v>50</v>
      </c>
      <c r="G10">
        <v>76</v>
      </c>
      <c r="H10">
        <v>96</v>
      </c>
      <c r="I10">
        <f t="shared" si="1"/>
        <v>96</v>
      </c>
      <c r="J10">
        <v>106</v>
      </c>
      <c r="M10">
        <f>(H10-G10)/25</f>
        <v>0.8</v>
      </c>
      <c r="N10">
        <f>(J10-I10)/25</f>
        <v>0.4</v>
      </c>
      <c r="Q10">
        <f>33/2</f>
        <v>16.5</v>
      </c>
      <c r="R10">
        <f t="shared" si="0"/>
        <v>13.124404748406688</v>
      </c>
      <c r="S10">
        <f>22.4/2</f>
        <v>11.2</v>
      </c>
    </row>
    <row r="11" spans="1:20">
      <c r="A11" t="s">
        <v>39</v>
      </c>
      <c r="B11" s="3">
        <v>46080</v>
      </c>
      <c r="C11" s="3">
        <v>46093</v>
      </c>
      <c r="D11">
        <v>0.2</v>
      </c>
      <c r="E11">
        <v>50</v>
      </c>
      <c r="F11" t="s">
        <v>51</v>
      </c>
      <c r="G11">
        <v>125</v>
      </c>
      <c r="H11">
        <v>245</v>
      </c>
      <c r="I11">
        <f t="shared" si="1"/>
        <v>245</v>
      </c>
      <c r="J11">
        <v>274</v>
      </c>
      <c r="M11">
        <f>(H11-G11)/25</f>
        <v>4.8</v>
      </c>
      <c r="N11">
        <f>(J11-I11)/25</f>
        <v>1.1599999999999999</v>
      </c>
      <c r="Q11">
        <f>39/2</f>
        <v>19.5</v>
      </c>
      <c r="R11">
        <f t="shared" si="0"/>
        <v>16.740669042783207</v>
      </c>
      <c r="S11">
        <f>22.4/2</f>
        <v>11.2</v>
      </c>
    </row>
    <row r="12" spans="1:20">
      <c r="A12" t="s">
        <v>39</v>
      </c>
      <c r="B12" s="3">
        <v>46080</v>
      </c>
      <c r="C12" s="3">
        <v>46093</v>
      </c>
      <c r="D12">
        <v>0.2</v>
      </c>
      <c r="E12">
        <v>50</v>
      </c>
      <c r="F12" t="s">
        <v>52</v>
      </c>
      <c r="G12">
        <v>274</v>
      </c>
      <c r="H12">
        <v>394</v>
      </c>
      <c r="I12">
        <f t="shared" si="1"/>
        <v>394</v>
      </c>
      <c r="J12">
        <v>423</v>
      </c>
      <c r="M12">
        <f>(H12-G12)/25</f>
        <v>4.8</v>
      </c>
      <c r="N12">
        <f>(J12-I12)/25</f>
        <v>1.1599999999999999</v>
      </c>
      <c r="Q12">
        <f>41.3/2</f>
        <v>20.65</v>
      </c>
      <c r="R12">
        <f t="shared" si="0"/>
        <v>18.067166352253469</v>
      </c>
      <c r="S12">
        <f>23.5/2</f>
        <v>11.75</v>
      </c>
    </row>
    <row r="13" spans="1:20">
      <c r="A13" t="s">
        <v>39</v>
      </c>
      <c r="B13" s="3">
        <v>46080</v>
      </c>
      <c r="C13" s="3">
        <v>46093</v>
      </c>
      <c r="D13">
        <v>0.2</v>
      </c>
      <c r="E13">
        <v>50</v>
      </c>
      <c r="F13" t="s">
        <v>53</v>
      </c>
      <c r="G13">
        <v>78</v>
      </c>
      <c r="H13">
        <v>182</v>
      </c>
      <c r="I13">
        <f t="shared" si="1"/>
        <v>182</v>
      </c>
      <c r="J13">
        <v>221</v>
      </c>
      <c r="M13">
        <f>(H13-G13)/25</f>
        <v>4.16</v>
      </c>
      <c r="N13">
        <f>(J13-I13)/25</f>
        <v>1.56</v>
      </c>
      <c r="Q13">
        <f>35/2</f>
        <v>17.5</v>
      </c>
      <c r="R13">
        <f t="shared" si="0"/>
        <v>14.361406616345072</v>
      </c>
      <c r="S13">
        <f>23.3/2</f>
        <v>11.65</v>
      </c>
    </row>
    <row r="14" spans="1:20">
      <c r="A14" t="s">
        <v>39</v>
      </c>
      <c r="B14" s="3">
        <v>46080</v>
      </c>
      <c r="C14" s="3">
        <v>46093</v>
      </c>
      <c r="D14">
        <v>0.2</v>
      </c>
      <c r="E14">
        <v>50</v>
      </c>
      <c r="F14" t="s">
        <v>54</v>
      </c>
      <c r="G14">
        <v>221</v>
      </c>
      <c r="H14">
        <v>332</v>
      </c>
      <c r="I14">
        <f t="shared" si="1"/>
        <v>332</v>
      </c>
      <c r="J14">
        <v>361</v>
      </c>
      <c r="M14">
        <f>(H14-G14)/25</f>
        <v>4.4400000000000004</v>
      </c>
      <c r="N14">
        <f>(J14-I14)/25</f>
        <v>1.1599999999999999</v>
      </c>
      <c r="Q14">
        <f>34.2/2</f>
        <v>17.100000000000001</v>
      </c>
      <c r="R14">
        <f t="shared" si="0"/>
        <v>13.871193171461496</v>
      </c>
      <c r="S14">
        <f>22.9/2</f>
        <v>11.45</v>
      </c>
    </row>
    <row r="15" spans="1:20">
      <c r="A15" t="s">
        <v>39</v>
      </c>
      <c r="B15" s="3">
        <v>46080</v>
      </c>
      <c r="C15" s="3">
        <v>46093</v>
      </c>
      <c r="D15">
        <v>0.2</v>
      </c>
      <c r="E15">
        <v>50</v>
      </c>
      <c r="F15" t="s">
        <v>55</v>
      </c>
      <c r="G15">
        <v>200</v>
      </c>
      <c r="H15">
        <v>273</v>
      </c>
      <c r="I15">
        <f t="shared" si="1"/>
        <v>273</v>
      </c>
      <c r="J15">
        <v>301</v>
      </c>
      <c r="M15">
        <f>(H15-G15)/25</f>
        <v>2.92</v>
      </c>
      <c r="N15">
        <f>(J15-I15)/25</f>
        <v>1.1200000000000001</v>
      </c>
      <c r="Q15">
        <f>29.3/2</f>
        <v>14.65</v>
      </c>
      <c r="R15">
        <f t="shared" si="0"/>
        <v>10.706189798429692</v>
      </c>
      <c r="S15">
        <f>20.6/2</f>
        <v>10.3</v>
      </c>
      <c r="T15" t="s">
        <v>56</v>
      </c>
    </row>
    <row r="16" spans="1:20">
      <c r="A16" t="s">
        <v>39</v>
      </c>
      <c r="B16" s="3">
        <v>46080</v>
      </c>
      <c r="C16" s="3">
        <v>46093</v>
      </c>
      <c r="D16">
        <v>0.2</v>
      </c>
      <c r="E16">
        <v>50</v>
      </c>
      <c r="F16" t="s">
        <v>57</v>
      </c>
      <c r="G16">
        <v>78</v>
      </c>
      <c r="H16">
        <v>148</v>
      </c>
      <c r="I16">
        <f t="shared" si="1"/>
        <v>148</v>
      </c>
      <c r="J16">
        <v>173</v>
      </c>
      <c r="M16">
        <f>(H16-G16)/25</f>
        <v>2.8</v>
      </c>
      <c r="N16">
        <f>(J16-I16)/25</f>
        <v>1</v>
      </c>
      <c r="Q16">
        <f>31.8/2</f>
        <v>15.9</v>
      </c>
      <c r="R16">
        <f t="shared" si="0"/>
        <v>12.361634196173256</v>
      </c>
      <c r="S16">
        <f>19.1/2</f>
        <v>9.5500000000000007</v>
      </c>
    </row>
    <row r="18" spans="1:20">
      <c r="A18" t="s">
        <v>39</v>
      </c>
      <c r="B18" s="3">
        <v>46080</v>
      </c>
      <c r="C18" s="3">
        <v>46093</v>
      </c>
      <c r="D18">
        <v>0.2</v>
      </c>
      <c r="E18">
        <v>100</v>
      </c>
      <c r="F18" t="s">
        <v>46</v>
      </c>
      <c r="G18">
        <v>7</v>
      </c>
      <c r="H18">
        <v>20</v>
      </c>
      <c r="I18">
        <f t="shared" si="1"/>
        <v>20</v>
      </c>
      <c r="J18">
        <v>28</v>
      </c>
      <c r="M18">
        <f>(H18-G18)/25</f>
        <v>0.52</v>
      </c>
      <c r="N18">
        <f>(J18-I18)/25</f>
        <v>0.32</v>
      </c>
      <c r="Q18">
        <v>14.1</v>
      </c>
      <c r="R18">
        <f t="shared" si="0"/>
        <v>9.9403219263764289</v>
      </c>
      <c r="S18">
        <v>9.4</v>
      </c>
      <c r="T18" t="s">
        <v>58</v>
      </c>
    </row>
    <row r="19" spans="1:20">
      <c r="A19" t="s">
        <v>39</v>
      </c>
      <c r="B19" s="3">
        <v>46080</v>
      </c>
      <c r="C19" s="3">
        <v>46093</v>
      </c>
      <c r="D19">
        <v>0.2</v>
      </c>
      <c r="E19">
        <v>100</v>
      </c>
      <c r="F19" t="s">
        <v>47</v>
      </c>
      <c r="G19">
        <v>28</v>
      </c>
      <c r="H19">
        <v>40</v>
      </c>
      <c r="I19">
        <f t="shared" si="1"/>
        <v>40</v>
      </c>
      <c r="J19">
        <v>49</v>
      </c>
      <c r="M19">
        <f>(H19-G19)/25</f>
        <v>0.48</v>
      </c>
      <c r="N19">
        <f>(J19-I19)/25</f>
        <v>0.36</v>
      </c>
      <c r="Q19">
        <v>13.5</v>
      </c>
      <c r="R19">
        <f t="shared" si="0"/>
        <v>9.0691785736085269</v>
      </c>
      <c r="S19">
        <v>9.1</v>
      </c>
    </row>
    <row r="20" spans="1:20">
      <c r="A20" t="s">
        <v>39</v>
      </c>
      <c r="B20" s="3">
        <v>46080</v>
      </c>
      <c r="C20" s="3">
        <v>46093</v>
      </c>
      <c r="D20">
        <v>0.2</v>
      </c>
      <c r="E20">
        <v>100</v>
      </c>
      <c r="F20" t="s">
        <v>48</v>
      </c>
      <c r="G20">
        <v>20</v>
      </c>
      <c r="H20">
        <v>32</v>
      </c>
      <c r="I20">
        <f t="shared" si="1"/>
        <v>32</v>
      </c>
      <c r="J20">
        <v>40</v>
      </c>
      <c r="M20">
        <f>(H20-G20)/25</f>
        <v>0.48</v>
      </c>
      <c r="N20">
        <f>(J20-I20)/25</f>
        <v>0.32</v>
      </c>
      <c r="Q20">
        <v>12.8</v>
      </c>
      <c r="R20">
        <f t="shared" si="0"/>
        <v>7.9899937421752734</v>
      </c>
    </row>
    <row r="36" spans="1:26">
      <c r="A36" t="s">
        <v>20</v>
      </c>
      <c r="B36" t="s">
        <v>21</v>
      </c>
      <c r="C36" t="s">
        <v>22</v>
      </c>
      <c r="D36" t="s">
        <v>23</v>
      </c>
      <c r="E36" t="s">
        <v>24</v>
      </c>
      <c r="F36" t="s">
        <v>25</v>
      </c>
      <c r="G36" t="s">
        <v>26</v>
      </c>
      <c r="H36" t="s">
        <v>27</v>
      </c>
      <c r="I36" t="s">
        <v>29</v>
      </c>
      <c r="J36" t="s">
        <v>31</v>
      </c>
      <c r="K36" t="s">
        <v>32</v>
      </c>
      <c r="L36" t="s">
        <v>33</v>
      </c>
      <c r="M36" t="s">
        <v>34</v>
      </c>
      <c r="O36" t="s">
        <v>59</v>
      </c>
      <c r="Q36" t="s">
        <v>35</v>
      </c>
      <c r="R36" t="s">
        <v>36</v>
      </c>
      <c r="S36" t="s">
        <v>60</v>
      </c>
      <c r="T36" t="s">
        <v>61</v>
      </c>
      <c r="U36" t="s">
        <v>62</v>
      </c>
      <c r="V36" t="s">
        <v>63</v>
      </c>
      <c r="X36" t="s">
        <v>37</v>
      </c>
      <c r="Z36" t="s">
        <v>38</v>
      </c>
    </row>
    <row r="37" spans="1:26">
      <c r="A37" t="s">
        <v>64</v>
      </c>
      <c r="B37" s="3">
        <v>46090</v>
      </c>
      <c r="C37" s="3">
        <v>46092</v>
      </c>
      <c r="D37">
        <v>1</v>
      </c>
      <c r="E37">
        <v>200</v>
      </c>
      <c r="F37" t="s">
        <v>65</v>
      </c>
      <c r="G37">
        <v>36</v>
      </c>
      <c r="H37">
        <v>63</v>
      </c>
      <c r="I37">
        <v>73</v>
      </c>
      <c r="J37">
        <v>81</v>
      </c>
      <c r="K37">
        <f>(H37-G37)/25</f>
        <v>1.08</v>
      </c>
      <c r="L37">
        <f>(I37-H37)/25</f>
        <v>0.4</v>
      </c>
      <c r="M37">
        <f>(J37-I37)/25</f>
        <v>0.32</v>
      </c>
      <c r="O37">
        <f>SUM(K37:M37)</f>
        <v>1.8</v>
      </c>
      <c r="Q37">
        <v>53</v>
      </c>
      <c r="R37">
        <f>SQRT((Q37^2)-(30^2))</f>
        <v>43.692104549906958</v>
      </c>
      <c r="S37">
        <v>27.8</v>
      </c>
      <c r="T37">
        <f>SQRT((S37^2)-(15^2))</f>
        <v>23.405982141324472</v>
      </c>
      <c r="U37">
        <v>61.2</v>
      </c>
      <c r="V37">
        <f>SQRT((U37^2)-(30^2))</f>
        <v>53.342665850142893</v>
      </c>
      <c r="X37">
        <v>28.8</v>
      </c>
      <c r="Z37" t="s">
        <v>66</v>
      </c>
    </row>
    <row r="38" spans="1:26">
      <c r="A38" t="s">
        <v>64</v>
      </c>
      <c r="B38" s="3">
        <v>46090</v>
      </c>
      <c r="C38" s="3">
        <v>46092</v>
      </c>
      <c r="D38">
        <v>1</v>
      </c>
      <c r="E38">
        <v>200</v>
      </c>
      <c r="F38" t="s">
        <v>67</v>
      </c>
      <c r="G38">
        <v>45</v>
      </c>
      <c r="H38">
        <v>78</v>
      </c>
      <c r="I38">
        <v>88</v>
      </c>
      <c r="J38">
        <v>96</v>
      </c>
      <c r="K38">
        <f>(H38-G38)/25</f>
        <v>1.32</v>
      </c>
      <c r="L38">
        <f>(I38-H38)/25</f>
        <v>0.4</v>
      </c>
      <c r="M38">
        <f>(J38-I38)/25</f>
        <v>0.32</v>
      </c>
      <c r="O38">
        <f>SUM(K38:M38)</f>
        <v>2.04</v>
      </c>
      <c r="S38">
        <v>31.4</v>
      </c>
      <c r="T38">
        <f t="shared" ref="T38:T51" si="2">SQRT((S38^2)-(15^2))</f>
        <v>27.585503439306667</v>
      </c>
    </row>
    <row r="39" spans="1:26">
      <c r="A39" t="s">
        <v>64</v>
      </c>
      <c r="B39" s="3">
        <v>46090</v>
      </c>
      <c r="C39" s="3">
        <v>46092</v>
      </c>
      <c r="D39">
        <v>1</v>
      </c>
      <c r="E39">
        <v>200</v>
      </c>
      <c r="F39" t="s">
        <v>68</v>
      </c>
      <c r="G39">
        <v>88</v>
      </c>
      <c r="H39">
        <v>117</v>
      </c>
      <c r="I39">
        <v>128</v>
      </c>
      <c r="J39">
        <v>134</v>
      </c>
      <c r="K39">
        <f>(H39-G39)/25</f>
        <v>1.1599999999999999</v>
      </c>
      <c r="L39">
        <f>(I39-H39)/25</f>
        <v>0.44</v>
      </c>
      <c r="M39">
        <f>(J39-I39)/25</f>
        <v>0.24</v>
      </c>
      <c r="O39">
        <f>SUM(K39:M39)</f>
        <v>1.8399999999999999</v>
      </c>
      <c r="Q39">
        <v>46.3</v>
      </c>
      <c r="R39">
        <f t="shared" ref="R38:R53" si="3">SQRT((Q39^2)-(30^2))</f>
        <v>35.265989281459262</v>
      </c>
      <c r="S39">
        <v>29</v>
      </c>
      <c r="T39">
        <f t="shared" si="2"/>
        <v>24.819347291981714</v>
      </c>
      <c r="U39">
        <v>56.2</v>
      </c>
      <c r="V39">
        <f t="shared" ref="V38:V47" si="4">SQRT((U39^2)-(30^2))</f>
        <v>47.52304704035717</v>
      </c>
      <c r="X39">
        <v>26.7</v>
      </c>
    </row>
    <row r="40" spans="1:26">
      <c r="A40" t="s">
        <v>64</v>
      </c>
      <c r="B40" s="3">
        <v>46090</v>
      </c>
      <c r="C40" s="3">
        <v>46092</v>
      </c>
      <c r="D40">
        <v>1</v>
      </c>
      <c r="E40">
        <v>200</v>
      </c>
      <c r="F40" t="s">
        <v>69</v>
      </c>
      <c r="G40">
        <v>40</v>
      </c>
      <c r="H40">
        <v>68</v>
      </c>
      <c r="I40">
        <v>78</v>
      </c>
      <c r="J40">
        <v>83</v>
      </c>
      <c r="K40">
        <f>(H40-G40)/25</f>
        <v>1.1200000000000001</v>
      </c>
      <c r="L40">
        <f>(I40-H40)/25</f>
        <v>0.4</v>
      </c>
      <c r="M40">
        <f>(J40-I40)/25</f>
        <v>0.2</v>
      </c>
      <c r="O40">
        <f>SUM(K40:M40)</f>
        <v>1.72</v>
      </c>
      <c r="Q40">
        <v>45.2</v>
      </c>
      <c r="R40">
        <f t="shared" si="3"/>
        <v>33.808874574584706</v>
      </c>
      <c r="S40">
        <v>28.8</v>
      </c>
      <c r="T40">
        <f t="shared" si="2"/>
        <v>24.585361498257456</v>
      </c>
      <c r="U40">
        <v>54.4</v>
      </c>
      <c r="V40">
        <f t="shared" si="4"/>
        <v>45.380171881560777</v>
      </c>
      <c r="X40">
        <v>25.4</v>
      </c>
    </row>
    <row r="41" spans="1:26">
      <c r="A41" t="s">
        <v>64</v>
      </c>
      <c r="B41" s="3">
        <v>46090</v>
      </c>
      <c r="C41" s="3">
        <v>46092</v>
      </c>
      <c r="D41">
        <v>1</v>
      </c>
      <c r="E41">
        <v>200</v>
      </c>
      <c r="F41" t="s">
        <v>70</v>
      </c>
      <c r="G41">
        <v>25</v>
      </c>
      <c r="H41">
        <v>55</v>
      </c>
      <c r="I41">
        <v>63</v>
      </c>
      <c r="J41">
        <v>69</v>
      </c>
      <c r="K41">
        <f>(H41-G41)/25</f>
        <v>1.2</v>
      </c>
      <c r="L41">
        <f>(I41-H41)/25</f>
        <v>0.32</v>
      </c>
      <c r="M41">
        <f>(J41-I41)/25</f>
        <v>0.24</v>
      </c>
      <c r="O41">
        <f>SUM(K41:M41)</f>
        <v>1.76</v>
      </c>
      <c r="Q41">
        <v>43.2</v>
      </c>
      <c r="R41">
        <f t="shared" si="3"/>
        <v>31.084401232772688</v>
      </c>
      <c r="S41">
        <v>29.5</v>
      </c>
      <c r="T41">
        <f t="shared" si="2"/>
        <v>25.401771591761076</v>
      </c>
      <c r="U41">
        <v>55.4</v>
      </c>
      <c r="V41">
        <f t="shared" si="4"/>
        <v>46.574241808106763</v>
      </c>
      <c r="X41">
        <v>26.5</v>
      </c>
    </row>
    <row r="42" spans="1:26">
      <c r="A42" t="s">
        <v>64</v>
      </c>
      <c r="B42" s="3">
        <v>46090</v>
      </c>
      <c r="C42" s="3">
        <v>46092</v>
      </c>
      <c r="D42">
        <v>1</v>
      </c>
      <c r="E42">
        <v>200</v>
      </c>
      <c r="F42" t="s">
        <v>71</v>
      </c>
      <c r="G42">
        <v>37</v>
      </c>
      <c r="H42">
        <v>65</v>
      </c>
      <c r="I42">
        <v>76</v>
      </c>
      <c r="J42">
        <v>82</v>
      </c>
      <c r="K42">
        <f>(H42-G42)/25</f>
        <v>1.1200000000000001</v>
      </c>
      <c r="L42">
        <f>(I42-H42)/25</f>
        <v>0.44</v>
      </c>
      <c r="M42">
        <f>(J42-I42)/25</f>
        <v>0.24</v>
      </c>
      <c r="O42">
        <f>SUM(K42:M42)</f>
        <v>1.8</v>
      </c>
      <c r="Q42">
        <v>44.5</v>
      </c>
      <c r="R42">
        <f t="shared" si="3"/>
        <v>32.86715685908959</v>
      </c>
      <c r="S42">
        <v>26.8</v>
      </c>
      <c r="T42">
        <f t="shared" si="2"/>
        <v>22.209007181771995</v>
      </c>
      <c r="U42">
        <v>56.3</v>
      </c>
      <c r="V42">
        <f t="shared" si="4"/>
        <v>47.641263627238096</v>
      </c>
      <c r="X42">
        <v>25.6</v>
      </c>
    </row>
    <row r="43" spans="1:26">
      <c r="A43" t="s">
        <v>64</v>
      </c>
      <c r="B43" s="3">
        <v>46090</v>
      </c>
      <c r="C43" s="3">
        <v>46092</v>
      </c>
      <c r="D43">
        <v>1</v>
      </c>
      <c r="E43">
        <v>200</v>
      </c>
      <c r="F43" t="s">
        <v>72</v>
      </c>
      <c r="G43">
        <v>28</v>
      </c>
      <c r="H43">
        <v>55</v>
      </c>
      <c r="I43">
        <v>72</v>
      </c>
      <c r="J43">
        <v>76</v>
      </c>
      <c r="K43">
        <f>(H43-G43)/25</f>
        <v>1.08</v>
      </c>
      <c r="L43">
        <f>(I43-H43)/25</f>
        <v>0.68</v>
      </c>
      <c r="M43">
        <f>(J43-I43)/25</f>
        <v>0.16</v>
      </c>
      <c r="O43">
        <f>SUM(K43:M43)</f>
        <v>1.9200000000000002</v>
      </c>
      <c r="Q43">
        <v>38.9</v>
      </c>
      <c r="R43">
        <f t="shared" si="3"/>
        <v>24.763077353188553</v>
      </c>
      <c r="S43">
        <v>26.5</v>
      </c>
      <c r="T43">
        <f t="shared" si="2"/>
        <v>21.846052274953479</v>
      </c>
      <c r="U43">
        <v>55</v>
      </c>
      <c r="V43">
        <f t="shared" si="4"/>
        <v>46.097722286464439</v>
      </c>
      <c r="X43">
        <v>26.9</v>
      </c>
      <c r="Z43" t="s">
        <v>73</v>
      </c>
    </row>
    <row r="44" spans="1:26">
      <c r="A44" t="s">
        <v>64</v>
      </c>
      <c r="B44" s="3">
        <v>46090</v>
      </c>
      <c r="C44" s="3">
        <v>46092</v>
      </c>
      <c r="D44">
        <v>1</v>
      </c>
      <c r="E44">
        <v>200</v>
      </c>
      <c r="F44" t="s">
        <v>74</v>
      </c>
      <c r="G44">
        <v>19</v>
      </c>
      <c r="H44">
        <v>32</v>
      </c>
      <c r="I44">
        <v>42</v>
      </c>
      <c r="J44">
        <v>49</v>
      </c>
      <c r="K44">
        <f>(H44-G44)/25</f>
        <v>0.52</v>
      </c>
      <c r="L44">
        <f>(I44-H44)/25</f>
        <v>0.4</v>
      </c>
      <c r="M44">
        <f>(J44-I44)/25</f>
        <v>0.28000000000000003</v>
      </c>
      <c r="O44">
        <f>SUM(K44:M44)</f>
        <v>1.2000000000000002</v>
      </c>
      <c r="Q44">
        <v>37.299999999999997</v>
      </c>
      <c r="R44">
        <f t="shared" si="3"/>
        <v>22.165062598603228</v>
      </c>
      <c r="S44">
        <v>18.5</v>
      </c>
      <c r="T44">
        <f t="shared" si="2"/>
        <v>10.828203913853857</v>
      </c>
      <c r="X44">
        <v>23.3</v>
      </c>
    </row>
    <row r="46" spans="1:26">
      <c r="A46" t="s">
        <v>64</v>
      </c>
      <c r="B46" s="3">
        <v>46090</v>
      </c>
      <c r="C46" s="3">
        <v>46092</v>
      </c>
      <c r="D46">
        <v>1</v>
      </c>
      <c r="E46">
        <v>300</v>
      </c>
      <c r="F46" t="s">
        <v>75</v>
      </c>
      <c r="G46">
        <v>29</v>
      </c>
      <c r="H46">
        <v>45</v>
      </c>
      <c r="I46">
        <v>53</v>
      </c>
      <c r="J46">
        <v>58</v>
      </c>
      <c r="K46">
        <f>(H46-G46)/25</f>
        <v>0.64</v>
      </c>
      <c r="L46">
        <f>(I46-H46)/25</f>
        <v>0.32</v>
      </c>
      <c r="M46">
        <f>(J46-I46)/25</f>
        <v>0.2</v>
      </c>
      <c r="O46">
        <f>SUM(K46:M46)</f>
        <v>1.1599999999999999</v>
      </c>
      <c r="Q46">
        <v>43.7</v>
      </c>
      <c r="R46">
        <f>SQRT((Q46^2)-(30^2))</f>
        <v>31.775619584832651</v>
      </c>
      <c r="S46">
        <v>25.6</v>
      </c>
      <c r="T46">
        <f>SQRT((S46^2)-(15^2))</f>
        <v>20.745119908065128</v>
      </c>
      <c r="U46">
        <v>64</v>
      </c>
      <c r="V46">
        <f>SQRT((U46^2)-(30^2))</f>
        <v>56.53317610041028</v>
      </c>
      <c r="X46">
        <v>28.4</v>
      </c>
    </row>
    <row r="47" spans="1:26">
      <c r="A47" t="s">
        <v>64</v>
      </c>
      <c r="B47" s="3">
        <v>46090</v>
      </c>
      <c r="C47" s="3">
        <v>46092</v>
      </c>
      <c r="D47">
        <v>1</v>
      </c>
      <c r="E47">
        <v>300</v>
      </c>
      <c r="F47" t="s">
        <v>68</v>
      </c>
      <c r="G47">
        <v>27</v>
      </c>
      <c r="H47">
        <v>46</v>
      </c>
      <c r="I47">
        <v>54</v>
      </c>
      <c r="J47">
        <v>58</v>
      </c>
      <c r="K47">
        <f>(H47-G47)/25</f>
        <v>0.76</v>
      </c>
      <c r="L47">
        <f>(I47-H47)/25</f>
        <v>0.32</v>
      </c>
      <c r="M47">
        <f>(J47-I47)/25</f>
        <v>0.16</v>
      </c>
      <c r="O47">
        <f>SUM(K47:M47)</f>
        <v>1.24</v>
      </c>
      <c r="Q47">
        <v>46</v>
      </c>
      <c r="R47">
        <f>SQRT((Q47^2)-(30^2))</f>
        <v>34.871191548325392</v>
      </c>
      <c r="S47">
        <v>28</v>
      </c>
      <c r="T47">
        <f>SQRT((S47^2)-(15^2))</f>
        <v>23.643180835073778</v>
      </c>
      <c r="X47">
        <v>27.4</v>
      </c>
      <c r="Z47" t="s">
        <v>76</v>
      </c>
    </row>
    <row r="48" spans="1:26">
      <c r="A48" t="s">
        <v>64</v>
      </c>
      <c r="B48" s="3">
        <v>46090</v>
      </c>
      <c r="C48" s="3">
        <v>46092</v>
      </c>
      <c r="D48">
        <v>1</v>
      </c>
      <c r="E48">
        <v>300</v>
      </c>
      <c r="F48" t="s">
        <v>77</v>
      </c>
      <c r="G48">
        <v>11</v>
      </c>
      <c r="H48">
        <v>29</v>
      </c>
      <c r="I48">
        <v>34</v>
      </c>
      <c r="J48">
        <v>40</v>
      </c>
      <c r="K48">
        <f>(H48-G48)/25</f>
        <v>0.72</v>
      </c>
      <c r="L48">
        <f>(I48-H48)/25</f>
        <v>0.2</v>
      </c>
      <c r="M48">
        <f>(J48-I48)/25</f>
        <v>0.24</v>
      </c>
      <c r="O48">
        <f>SUM(K48:M48)</f>
        <v>1.1599999999999999</v>
      </c>
      <c r="Q48">
        <v>47.9</v>
      </c>
      <c r="R48">
        <f>SQRT((Q48^2)-(30^2))</f>
        <v>37.341799635261282</v>
      </c>
      <c r="S48">
        <v>27</v>
      </c>
      <c r="T48">
        <f>SQRT((S48^2)-(15^2))</f>
        <v>22.449944320643649</v>
      </c>
      <c r="U48">
        <v>60.5</v>
      </c>
      <c r="V48">
        <f t="shared" ref="V48:V50" si="5">SQRT((U48^2)-(30^2))</f>
        <v>52.53808142671371</v>
      </c>
      <c r="X48">
        <v>26.7</v>
      </c>
    </row>
    <row r="49" spans="1:24">
      <c r="A49" t="s">
        <v>64</v>
      </c>
      <c r="B49" s="3">
        <v>46090</v>
      </c>
      <c r="C49" s="3">
        <v>46092</v>
      </c>
      <c r="D49">
        <v>1</v>
      </c>
      <c r="E49">
        <v>300</v>
      </c>
      <c r="F49" t="s">
        <v>69</v>
      </c>
      <c r="G49">
        <v>7</v>
      </c>
      <c r="H49">
        <v>26</v>
      </c>
      <c r="I49">
        <v>34</v>
      </c>
      <c r="J49">
        <v>38</v>
      </c>
      <c r="K49">
        <f>(H49-G49)/25</f>
        <v>0.76</v>
      </c>
      <c r="L49">
        <f>(I49-H49)/25</f>
        <v>0.32</v>
      </c>
      <c r="M49">
        <f>(J49-I49)/25</f>
        <v>0.16</v>
      </c>
      <c r="O49">
        <f>SUM(K49:M49)</f>
        <v>1.24</v>
      </c>
      <c r="Q49">
        <v>49</v>
      </c>
      <c r="R49">
        <f>SQRT((Q49^2)-(30^2))</f>
        <v>38.742741255621034</v>
      </c>
      <c r="S49">
        <v>28.6</v>
      </c>
      <c r="T49">
        <f>SQRT((S49^2)-(15^2))</f>
        <v>24.350770008359078</v>
      </c>
      <c r="U49">
        <v>65.8</v>
      </c>
      <c r="V49">
        <f t="shared" si="5"/>
        <v>58.563128331741289</v>
      </c>
      <c r="X49">
        <v>27.5</v>
      </c>
    </row>
    <row r="50" spans="1:24">
      <c r="A50" t="s">
        <v>64</v>
      </c>
      <c r="B50" s="3">
        <v>46090</v>
      </c>
      <c r="C50" s="3">
        <v>46092</v>
      </c>
      <c r="D50">
        <v>1</v>
      </c>
      <c r="E50">
        <v>300</v>
      </c>
      <c r="F50" t="s">
        <v>70</v>
      </c>
      <c r="G50">
        <v>4</v>
      </c>
      <c r="H50">
        <v>21</v>
      </c>
      <c r="I50">
        <v>26</v>
      </c>
      <c r="J50">
        <v>32</v>
      </c>
      <c r="K50">
        <f>(H50-G50)/25</f>
        <v>0.68</v>
      </c>
      <c r="L50">
        <f>(I50-H50)/25</f>
        <v>0.2</v>
      </c>
      <c r="M50">
        <f>(J50-I50)/25</f>
        <v>0.24</v>
      </c>
      <c r="O50">
        <f>SUM(K50:M50)</f>
        <v>1.1200000000000001</v>
      </c>
      <c r="Q50">
        <v>46.2</v>
      </c>
      <c r="R50">
        <f>SQRT((Q50^2)-(30^2))</f>
        <v>35.134598332697642</v>
      </c>
      <c r="S50">
        <v>26.6</v>
      </c>
      <c r="T50">
        <f>SQRT((S50^2)-(15^2))</f>
        <v>21.967248348393571</v>
      </c>
      <c r="U50">
        <v>56.8</v>
      </c>
      <c r="V50">
        <f t="shared" si="5"/>
        <v>48.231110292009653</v>
      </c>
      <c r="X50">
        <v>26.4</v>
      </c>
    </row>
    <row r="51" spans="1:24">
      <c r="A51" t="s">
        <v>64</v>
      </c>
      <c r="B51" s="3">
        <v>46090</v>
      </c>
      <c r="C51" s="3">
        <v>46092</v>
      </c>
      <c r="D51">
        <v>1</v>
      </c>
      <c r="E51">
        <v>300</v>
      </c>
      <c r="F51" t="s">
        <v>71</v>
      </c>
      <c r="G51">
        <v>18</v>
      </c>
      <c r="H51">
        <v>40</v>
      </c>
      <c r="I51">
        <v>46</v>
      </c>
      <c r="J51">
        <v>53</v>
      </c>
      <c r="K51">
        <f>(H51-G51)/25</f>
        <v>0.88</v>
      </c>
      <c r="L51">
        <f>(I51-H51)/25</f>
        <v>0.24</v>
      </c>
      <c r="M51">
        <f>(J51-I51)/25</f>
        <v>0.28000000000000003</v>
      </c>
      <c r="O51">
        <f>SUM(K51:M51)</f>
        <v>1.4000000000000001</v>
      </c>
      <c r="Q51">
        <v>48.7</v>
      </c>
      <c r="R51">
        <f>SQRT((Q51^2)-(30^2))</f>
        <v>38.362612007004948</v>
      </c>
      <c r="S51">
        <v>30.1</v>
      </c>
      <c r="T51">
        <f>SQRT((S51^2)-(15^2))</f>
        <v>26.096168301112716</v>
      </c>
      <c r="X51">
        <v>28.5</v>
      </c>
    </row>
    <row r="52" spans="1:24">
      <c r="A52" t="s">
        <v>64</v>
      </c>
      <c r="B52" s="3">
        <v>46090</v>
      </c>
      <c r="C52" s="3">
        <v>46092</v>
      </c>
      <c r="D52">
        <v>1</v>
      </c>
      <c r="E52">
        <v>300</v>
      </c>
      <c r="F52" t="s">
        <v>78</v>
      </c>
      <c r="G52">
        <v>24</v>
      </c>
      <c r="H52">
        <v>38</v>
      </c>
      <c r="I52">
        <v>47</v>
      </c>
      <c r="J52">
        <v>52</v>
      </c>
      <c r="K52">
        <f>(H52-G52)/25</f>
        <v>0.56000000000000005</v>
      </c>
      <c r="L52">
        <f>(I52-H52)/25</f>
        <v>0.36</v>
      </c>
      <c r="M52">
        <f>(J52-I52)/25</f>
        <v>0.2</v>
      </c>
      <c r="O52">
        <f>SUM(K52:M52)</f>
        <v>1.1200000000000001</v>
      </c>
      <c r="Q52">
        <v>38.4</v>
      </c>
      <c r="R52">
        <f>SQRT((Q52^2)-(30^2))</f>
        <v>23.969981226525814</v>
      </c>
      <c r="S52">
        <v>20.399999999999999</v>
      </c>
      <c r="T52">
        <f>SQRT((S52^2)-(15^2))</f>
        <v>13.826062346163493</v>
      </c>
      <c r="X52">
        <v>26.1</v>
      </c>
    </row>
    <row r="53" spans="1:24">
      <c r="A53" t="s">
        <v>64</v>
      </c>
      <c r="B53" s="3">
        <v>46090</v>
      </c>
      <c r="C53" s="3">
        <v>46092</v>
      </c>
      <c r="D53">
        <v>1</v>
      </c>
      <c r="E53">
        <v>300</v>
      </c>
      <c r="F53" t="s">
        <v>74</v>
      </c>
      <c r="G53">
        <v>3</v>
      </c>
      <c r="H53">
        <v>18</v>
      </c>
      <c r="I53">
        <v>24</v>
      </c>
      <c r="J53">
        <v>29</v>
      </c>
      <c r="K53">
        <f>(H53-G53)/25</f>
        <v>0.6</v>
      </c>
      <c r="L53">
        <f>(I53-H53)/25</f>
        <v>0.24</v>
      </c>
      <c r="M53">
        <f>(J53-I53)/25</f>
        <v>0.2</v>
      </c>
      <c r="O53">
        <f>SUM(K53:M53)</f>
        <v>1.04</v>
      </c>
      <c r="Q53">
        <v>43.6</v>
      </c>
      <c r="R53">
        <f>SQRT((Q53^2)-(30^2))</f>
        <v>31.637951893256304</v>
      </c>
      <c r="S53">
        <v>26.2</v>
      </c>
      <c r="T53">
        <f t="shared" ref="T53:T77" si="6">SQRT((S53^2)-(15^2))</f>
        <v>21.481154531356083</v>
      </c>
      <c r="U53">
        <v>48.8</v>
      </c>
      <c r="V53">
        <f>SQRT((U53^2)-(30^2))</f>
        <v>38.489479081951728</v>
      </c>
      <c r="X53">
        <v>26.4</v>
      </c>
    </row>
    <row r="54" spans="1:24">
      <c r="A54" t="s">
        <v>64</v>
      </c>
      <c r="B54" s="3">
        <v>46090</v>
      </c>
      <c r="C54" s="3">
        <v>46092</v>
      </c>
      <c r="D54">
        <v>1</v>
      </c>
      <c r="E54">
        <v>300</v>
      </c>
      <c r="F54" t="s">
        <v>79</v>
      </c>
      <c r="G54">
        <v>28</v>
      </c>
      <c r="H54">
        <v>45</v>
      </c>
      <c r="I54">
        <v>52</v>
      </c>
      <c r="J54">
        <v>56</v>
      </c>
      <c r="K54">
        <f>(H54-G54)/25</f>
        <v>0.68</v>
      </c>
      <c r="L54">
        <f>(I54-H54)/25</f>
        <v>0.28000000000000003</v>
      </c>
      <c r="M54">
        <f>(J54-I54)/25</f>
        <v>0.16</v>
      </c>
      <c r="O54">
        <f>SUM(K54:M54)</f>
        <v>1.1200000000000001</v>
      </c>
      <c r="Q54">
        <v>45.4</v>
      </c>
      <c r="R54">
        <f>SQRT((Q54^2)-(30^2))</f>
        <v>34.07579786299948</v>
      </c>
      <c r="S54">
        <v>26.8</v>
      </c>
      <c r="T54">
        <f t="shared" si="6"/>
        <v>22.209007181771995</v>
      </c>
      <c r="X54">
        <v>26.6</v>
      </c>
    </row>
    <row r="56" spans="1:24">
      <c r="A56" t="s">
        <v>64</v>
      </c>
      <c r="B56" s="3">
        <v>46090</v>
      </c>
      <c r="C56" s="3">
        <v>46092</v>
      </c>
      <c r="D56">
        <v>1</v>
      </c>
      <c r="E56">
        <v>400</v>
      </c>
      <c r="F56" t="s">
        <v>75</v>
      </c>
      <c r="G56">
        <v>23</v>
      </c>
      <c r="H56">
        <v>34</v>
      </c>
      <c r="I56">
        <v>40</v>
      </c>
      <c r="J56">
        <v>44</v>
      </c>
      <c r="K56">
        <f>(H56-G56)/25</f>
        <v>0.44</v>
      </c>
      <c r="L56">
        <f>(I56-H56)/25</f>
        <v>0.24</v>
      </c>
      <c r="M56">
        <f>(J56-I56)/25</f>
        <v>0.16</v>
      </c>
      <c r="O56">
        <f>SUM(K56:M56)</f>
        <v>0.84</v>
      </c>
      <c r="Q56">
        <f>22.9*2</f>
        <v>45.8</v>
      </c>
      <c r="R56">
        <f>SQRT((Q56^2)-(30^2))</f>
        <v>34.606935721037189</v>
      </c>
      <c r="S56">
        <v>25.6</v>
      </c>
      <c r="T56">
        <f t="shared" si="6"/>
        <v>20.745119908065128</v>
      </c>
      <c r="X56">
        <f>13.9*2</f>
        <v>27.8</v>
      </c>
    </row>
    <row r="57" spans="1:24">
      <c r="A57" t="s">
        <v>64</v>
      </c>
      <c r="B57" s="3">
        <v>46090</v>
      </c>
      <c r="C57" s="3">
        <v>46092</v>
      </c>
      <c r="D57">
        <v>1</v>
      </c>
      <c r="E57">
        <v>400</v>
      </c>
      <c r="F57" t="s">
        <v>80</v>
      </c>
      <c r="G57">
        <v>13</v>
      </c>
      <c r="H57">
        <v>24</v>
      </c>
      <c r="I57">
        <v>30</v>
      </c>
      <c r="J57">
        <v>35</v>
      </c>
      <c r="K57">
        <f t="shared" ref="K57:K65" si="7">(H57-G57)/25</f>
        <v>0.44</v>
      </c>
      <c r="L57">
        <f t="shared" ref="L57:L65" si="8">(I57-H57)/25</f>
        <v>0.24</v>
      </c>
      <c r="M57">
        <f t="shared" ref="M57:M65" si="9">(J57-I57)/25</f>
        <v>0.2</v>
      </c>
      <c r="O57">
        <f t="shared" ref="O57:O65" si="10">SUM(K57:M57)</f>
        <v>0.87999999999999989</v>
      </c>
      <c r="Q57">
        <v>46</v>
      </c>
      <c r="R57">
        <f>SQRT((Q57^2)-(30^2))</f>
        <v>34.871191548325392</v>
      </c>
      <c r="S57">
        <v>26.2</v>
      </c>
      <c r="T57">
        <f t="shared" si="6"/>
        <v>21.481154531356083</v>
      </c>
      <c r="X57">
        <v>28</v>
      </c>
    </row>
    <row r="58" spans="1:24">
      <c r="A58" t="s">
        <v>64</v>
      </c>
      <c r="B58" s="3">
        <v>46090</v>
      </c>
      <c r="C58" s="3">
        <v>46092</v>
      </c>
      <c r="D58">
        <v>1</v>
      </c>
      <c r="E58">
        <v>400</v>
      </c>
      <c r="F58" t="s">
        <v>81</v>
      </c>
      <c r="G58">
        <v>16</v>
      </c>
      <c r="H58">
        <v>27</v>
      </c>
      <c r="I58">
        <v>32</v>
      </c>
      <c r="J58">
        <v>36</v>
      </c>
      <c r="K58">
        <f t="shared" si="7"/>
        <v>0.44</v>
      </c>
      <c r="L58">
        <f t="shared" si="8"/>
        <v>0.2</v>
      </c>
      <c r="M58">
        <f t="shared" si="9"/>
        <v>0.16</v>
      </c>
      <c r="O58">
        <f t="shared" si="10"/>
        <v>0.8</v>
      </c>
      <c r="Q58">
        <v>44.6</v>
      </c>
      <c r="R58">
        <f t="shared" ref="R58:R77" si="11">SQRT((Q58^2)-(30^2))</f>
        <v>33.002424153386066</v>
      </c>
      <c r="S58">
        <f>13.9*2</f>
        <v>27.8</v>
      </c>
      <c r="T58">
        <f t="shared" si="6"/>
        <v>23.405982141324472</v>
      </c>
      <c r="X58">
        <v>26.4</v>
      </c>
    </row>
    <row r="59" spans="1:24">
      <c r="A59" t="s">
        <v>64</v>
      </c>
      <c r="B59" s="3">
        <v>46090</v>
      </c>
      <c r="C59" s="3">
        <v>46092</v>
      </c>
      <c r="D59">
        <v>1</v>
      </c>
      <c r="E59">
        <v>400</v>
      </c>
      <c r="F59" t="s">
        <v>68</v>
      </c>
      <c r="G59">
        <v>9</v>
      </c>
      <c r="H59">
        <v>21</v>
      </c>
      <c r="I59">
        <v>27</v>
      </c>
      <c r="J59">
        <v>31</v>
      </c>
      <c r="K59">
        <f t="shared" si="7"/>
        <v>0.48</v>
      </c>
      <c r="L59">
        <f t="shared" si="8"/>
        <v>0.24</v>
      </c>
      <c r="M59">
        <f t="shared" si="9"/>
        <v>0.16</v>
      </c>
      <c r="O59">
        <f t="shared" si="10"/>
        <v>0.88</v>
      </c>
      <c r="Q59">
        <v>46.4</v>
      </c>
      <c r="R59">
        <f t="shared" si="11"/>
        <v>35.397175028524522</v>
      </c>
      <c r="S59">
        <v>28.8</v>
      </c>
      <c r="T59">
        <f t="shared" si="6"/>
        <v>24.585361498257456</v>
      </c>
      <c r="X59">
        <f>13.7*2</f>
        <v>27.4</v>
      </c>
    </row>
    <row r="60" spans="1:24">
      <c r="A60" t="s">
        <v>64</v>
      </c>
      <c r="B60" s="3">
        <v>46090</v>
      </c>
      <c r="C60" s="3">
        <v>46092</v>
      </c>
      <c r="D60">
        <v>1</v>
      </c>
      <c r="E60">
        <v>400</v>
      </c>
      <c r="F60" t="s">
        <v>77</v>
      </c>
      <c r="G60">
        <v>16</v>
      </c>
      <c r="H60">
        <v>29</v>
      </c>
      <c r="I60">
        <v>34</v>
      </c>
      <c r="J60">
        <v>39</v>
      </c>
      <c r="K60">
        <f t="shared" si="7"/>
        <v>0.52</v>
      </c>
      <c r="L60">
        <f t="shared" si="8"/>
        <v>0.2</v>
      </c>
      <c r="M60">
        <f t="shared" si="9"/>
        <v>0.2</v>
      </c>
      <c r="O60">
        <f t="shared" si="10"/>
        <v>0.91999999999999993</v>
      </c>
      <c r="Q60">
        <f>23.8*2</f>
        <v>47.6</v>
      </c>
      <c r="R60">
        <f t="shared" si="11"/>
        <v>36.956190279843511</v>
      </c>
      <c r="S60">
        <f>12.9*2</f>
        <v>25.8</v>
      </c>
      <c r="T60">
        <f t="shared" si="6"/>
        <v>20.991426821443081</v>
      </c>
      <c r="U60">
        <v>62.2</v>
      </c>
      <c r="V60">
        <f>SQRT((U53^2)-(30^2))</f>
        <v>38.489479081951728</v>
      </c>
      <c r="X60">
        <v>27.4</v>
      </c>
    </row>
    <row r="61" spans="1:24">
      <c r="A61" t="s">
        <v>64</v>
      </c>
      <c r="B61" s="3">
        <v>46090</v>
      </c>
      <c r="C61" s="3">
        <v>46092</v>
      </c>
      <c r="D61">
        <v>1</v>
      </c>
      <c r="E61">
        <v>400</v>
      </c>
      <c r="F61" t="s">
        <v>69</v>
      </c>
      <c r="G61">
        <v>13</v>
      </c>
      <c r="H61">
        <v>28</v>
      </c>
      <c r="I61">
        <v>30</v>
      </c>
      <c r="J61">
        <v>35</v>
      </c>
      <c r="K61">
        <f t="shared" si="7"/>
        <v>0.6</v>
      </c>
      <c r="L61">
        <f t="shared" si="8"/>
        <v>0.08</v>
      </c>
      <c r="M61">
        <f t="shared" si="9"/>
        <v>0.2</v>
      </c>
      <c r="O61">
        <f t="shared" si="10"/>
        <v>0.87999999999999989</v>
      </c>
      <c r="Q61">
        <f>23.6*2</f>
        <v>47.2</v>
      </c>
      <c r="R61">
        <f t="shared" si="11"/>
        <v>36.439538965250371</v>
      </c>
      <c r="S61">
        <f>14.6*2</f>
        <v>29.2</v>
      </c>
      <c r="T61">
        <f t="shared" si="6"/>
        <v>25.052744360648397</v>
      </c>
      <c r="X61">
        <v>27.2</v>
      </c>
    </row>
    <row r="62" spans="1:24">
      <c r="A62" t="s">
        <v>64</v>
      </c>
      <c r="B62" s="3">
        <v>46090</v>
      </c>
      <c r="C62" s="3">
        <v>46092</v>
      </c>
      <c r="D62">
        <v>1</v>
      </c>
      <c r="E62">
        <v>400</v>
      </c>
      <c r="F62" t="s">
        <v>70</v>
      </c>
      <c r="G62">
        <v>19</v>
      </c>
      <c r="H62">
        <v>32</v>
      </c>
      <c r="I62">
        <v>36</v>
      </c>
      <c r="J62">
        <v>40</v>
      </c>
      <c r="K62">
        <f t="shared" si="7"/>
        <v>0.52</v>
      </c>
      <c r="L62">
        <f t="shared" si="8"/>
        <v>0.16</v>
      </c>
      <c r="M62">
        <f t="shared" si="9"/>
        <v>0.16</v>
      </c>
      <c r="O62">
        <f t="shared" si="10"/>
        <v>0.84000000000000008</v>
      </c>
      <c r="Q62">
        <f>26.2*2</f>
        <v>52.4</v>
      </c>
      <c r="R62">
        <f t="shared" si="11"/>
        <v>42.962309062712166</v>
      </c>
      <c r="S62">
        <v>29.8</v>
      </c>
      <c r="T62">
        <f t="shared" si="6"/>
        <v>25.749563103089731</v>
      </c>
      <c r="X62">
        <v>27.6</v>
      </c>
    </row>
    <row r="63" spans="1:24">
      <c r="A63" t="s">
        <v>64</v>
      </c>
      <c r="B63" s="3">
        <v>46090</v>
      </c>
      <c r="C63" s="3">
        <v>46092</v>
      </c>
      <c r="D63">
        <v>1</v>
      </c>
      <c r="E63">
        <v>400</v>
      </c>
      <c r="F63" t="s">
        <v>82</v>
      </c>
      <c r="G63">
        <v>20</v>
      </c>
      <c r="H63">
        <v>36</v>
      </c>
      <c r="I63">
        <v>41</v>
      </c>
      <c r="J63">
        <v>45</v>
      </c>
      <c r="K63">
        <f t="shared" si="7"/>
        <v>0.64</v>
      </c>
      <c r="L63">
        <f t="shared" si="8"/>
        <v>0.2</v>
      </c>
      <c r="M63">
        <f t="shared" si="9"/>
        <v>0.16</v>
      </c>
      <c r="O63">
        <f t="shared" si="10"/>
        <v>1</v>
      </c>
      <c r="Q63">
        <f>23.2*2</f>
        <v>46.4</v>
      </c>
      <c r="R63">
        <f t="shared" si="11"/>
        <v>35.397175028524522</v>
      </c>
      <c r="S63">
        <v>28.6</v>
      </c>
      <c r="T63">
        <f t="shared" si="6"/>
        <v>24.350770008359078</v>
      </c>
      <c r="X63">
        <f>13.7*2</f>
        <v>27.4</v>
      </c>
    </row>
    <row r="64" spans="1:24">
      <c r="A64" t="s">
        <v>64</v>
      </c>
      <c r="B64" s="3">
        <v>46090</v>
      </c>
      <c r="C64" s="3">
        <v>46092</v>
      </c>
      <c r="D64">
        <v>1</v>
      </c>
      <c r="E64">
        <v>400</v>
      </c>
      <c r="F64" t="s">
        <v>83</v>
      </c>
      <c r="G64">
        <v>45</v>
      </c>
      <c r="H64">
        <v>61</v>
      </c>
      <c r="I64">
        <v>66</v>
      </c>
      <c r="J64">
        <v>70</v>
      </c>
      <c r="K64">
        <f t="shared" si="7"/>
        <v>0.64</v>
      </c>
      <c r="L64">
        <f t="shared" si="8"/>
        <v>0.2</v>
      </c>
      <c r="M64">
        <f t="shared" si="9"/>
        <v>0.16</v>
      </c>
      <c r="O64">
        <f t="shared" si="10"/>
        <v>1</v>
      </c>
      <c r="Q64">
        <f>22.6*2</f>
        <v>45.2</v>
      </c>
      <c r="R64">
        <f t="shared" si="11"/>
        <v>33.808874574584706</v>
      </c>
      <c r="S64">
        <f>14.5*2</f>
        <v>29</v>
      </c>
      <c r="T64">
        <f t="shared" si="6"/>
        <v>24.819347291981714</v>
      </c>
      <c r="X64">
        <f>13.8*2</f>
        <v>27.6</v>
      </c>
    </row>
    <row r="65" spans="1:24">
      <c r="A65" t="s">
        <v>64</v>
      </c>
      <c r="B65" s="3">
        <v>46090</v>
      </c>
      <c r="C65" s="3">
        <v>46092</v>
      </c>
      <c r="D65">
        <v>1</v>
      </c>
      <c r="E65">
        <v>400</v>
      </c>
      <c r="F65" t="s">
        <v>72</v>
      </c>
      <c r="G65">
        <v>18</v>
      </c>
      <c r="H65">
        <v>27</v>
      </c>
      <c r="I65">
        <v>34</v>
      </c>
      <c r="J65">
        <v>38</v>
      </c>
      <c r="K65">
        <f t="shared" si="7"/>
        <v>0.36</v>
      </c>
      <c r="L65">
        <f t="shared" si="8"/>
        <v>0.28000000000000003</v>
      </c>
      <c r="M65">
        <f t="shared" si="9"/>
        <v>0.16</v>
      </c>
      <c r="O65">
        <f t="shared" si="10"/>
        <v>0.8</v>
      </c>
      <c r="Q65">
        <f>18.2*2</f>
        <v>36.4</v>
      </c>
      <c r="R65">
        <f t="shared" si="11"/>
        <v>20.614557962760195</v>
      </c>
      <c r="S65">
        <v>18</v>
      </c>
      <c r="T65">
        <f t="shared" si="6"/>
        <v>9.9498743710661994</v>
      </c>
      <c r="X65">
        <v>26</v>
      </c>
    </row>
    <row r="66" spans="1:24">
      <c r="A66" t="s">
        <v>64</v>
      </c>
      <c r="B66" s="3">
        <v>46090</v>
      </c>
      <c r="C66" s="3">
        <v>46092</v>
      </c>
      <c r="D66">
        <v>1</v>
      </c>
      <c r="E66">
        <v>400</v>
      </c>
      <c r="F66" t="s">
        <v>84</v>
      </c>
      <c r="G66">
        <v>12</v>
      </c>
      <c r="H66">
        <v>21</v>
      </c>
      <c r="I66">
        <v>28</v>
      </c>
      <c r="J66">
        <v>32</v>
      </c>
      <c r="K66">
        <f t="shared" ref="K66:K69" si="12">(H66-G66)/25</f>
        <v>0.36</v>
      </c>
      <c r="L66">
        <f t="shared" ref="L66:L69" si="13">(I66-H66)/25</f>
        <v>0.28000000000000003</v>
      </c>
      <c r="M66">
        <f t="shared" ref="M66:M69" si="14">(J66-I66)/25</f>
        <v>0.16</v>
      </c>
      <c r="O66">
        <f t="shared" ref="O66:O69" si="15">SUM(K66:M66)</f>
        <v>0.8</v>
      </c>
      <c r="Q66">
        <f>17.9*2</f>
        <v>35.799999999999997</v>
      </c>
      <c r="R66">
        <f t="shared" si="11"/>
        <v>19.535608513685972</v>
      </c>
      <c r="S66">
        <f>10.7*2</f>
        <v>21.4</v>
      </c>
      <c r="T66">
        <f t="shared" si="6"/>
        <v>15.263027222671127</v>
      </c>
      <c r="X66">
        <v>26</v>
      </c>
    </row>
    <row r="67" spans="1:24">
      <c r="A67" t="s">
        <v>64</v>
      </c>
      <c r="B67" s="3">
        <v>46090</v>
      </c>
      <c r="C67" s="3">
        <v>46092</v>
      </c>
      <c r="D67">
        <v>1</v>
      </c>
      <c r="E67">
        <v>400</v>
      </c>
      <c r="F67" t="s">
        <v>74</v>
      </c>
      <c r="G67">
        <v>13</v>
      </c>
      <c r="H67">
        <v>22</v>
      </c>
      <c r="I67">
        <v>25</v>
      </c>
      <c r="J67">
        <v>28</v>
      </c>
      <c r="K67">
        <f t="shared" si="12"/>
        <v>0.36</v>
      </c>
      <c r="L67">
        <f t="shared" si="13"/>
        <v>0.12</v>
      </c>
      <c r="M67">
        <f t="shared" si="14"/>
        <v>0.12</v>
      </c>
      <c r="O67">
        <f t="shared" si="15"/>
        <v>0.6</v>
      </c>
      <c r="Q67">
        <v>40</v>
      </c>
      <c r="R67">
        <f t="shared" si="11"/>
        <v>26.457513110645905</v>
      </c>
      <c r="S67">
        <v>24</v>
      </c>
      <c r="T67">
        <f t="shared" si="6"/>
        <v>18.734993995195193</v>
      </c>
      <c r="U67">
        <f>23.9*2</f>
        <v>47.8</v>
      </c>
      <c r="V67">
        <f>SQRT((U67^2)-(30^2))</f>
        <v>37.213438432910223</v>
      </c>
      <c r="X67">
        <v>24</v>
      </c>
    </row>
    <row r="69" spans="1:24">
      <c r="A69" t="s">
        <v>64</v>
      </c>
      <c r="B69" s="3">
        <v>46090</v>
      </c>
      <c r="C69" s="3">
        <v>46092</v>
      </c>
      <c r="D69">
        <v>1</v>
      </c>
      <c r="E69">
        <v>500</v>
      </c>
      <c r="F69" t="s">
        <v>75</v>
      </c>
      <c r="G69">
        <v>12</v>
      </c>
      <c r="H69">
        <v>21</v>
      </c>
      <c r="I69">
        <v>26</v>
      </c>
      <c r="J69">
        <v>31</v>
      </c>
      <c r="K69">
        <f t="shared" ref="K68:K69" si="16">(H69-G69)/25</f>
        <v>0.36</v>
      </c>
      <c r="L69">
        <f t="shared" ref="L68:L69" si="17">(I69-H69)/25</f>
        <v>0.2</v>
      </c>
      <c r="M69">
        <f t="shared" ref="M68:M69" si="18">(J69-I69)/25</f>
        <v>0.2</v>
      </c>
      <c r="O69">
        <f t="shared" ref="O68:O69" si="19">SUM(K69:M69)</f>
        <v>0.76</v>
      </c>
      <c r="Q69">
        <f>21.4*2</f>
        <v>42.8</v>
      </c>
      <c r="R69">
        <f t="shared" si="11"/>
        <v>30.526054445342254</v>
      </c>
      <c r="S69">
        <v>24</v>
      </c>
      <c r="T69">
        <f t="shared" si="6"/>
        <v>18.734993995195193</v>
      </c>
      <c r="U69">
        <f>32.9*2</f>
        <v>65.8</v>
      </c>
      <c r="V69">
        <f>SQRT((U69^2)-(30^2))</f>
        <v>58.563128331741289</v>
      </c>
      <c r="X69">
        <f>14.5*2</f>
        <v>29</v>
      </c>
    </row>
    <row r="70" spans="1:24">
      <c r="A70" t="s">
        <v>64</v>
      </c>
      <c r="B70" s="3">
        <v>46090</v>
      </c>
      <c r="C70" s="3">
        <v>46092</v>
      </c>
      <c r="D70">
        <v>1</v>
      </c>
      <c r="E70">
        <v>500</v>
      </c>
      <c r="F70" t="s">
        <v>80</v>
      </c>
      <c r="G70">
        <v>18</v>
      </c>
      <c r="H70">
        <v>27</v>
      </c>
      <c r="I70">
        <v>31</v>
      </c>
      <c r="J70">
        <v>35</v>
      </c>
      <c r="K70">
        <f t="shared" ref="K70" si="20">(H70-G70)/25</f>
        <v>0.36</v>
      </c>
      <c r="L70">
        <f t="shared" ref="L70" si="21">(I70-H70)/25</f>
        <v>0.16</v>
      </c>
      <c r="M70">
        <f t="shared" ref="M70" si="22">(J70-I70)/25</f>
        <v>0.16</v>
      </c>
      <c r="O70">
        <f t="shared" ref="O70" si="23">SUM(K70:M70)</f>
        <v>0.68</v>
      </c>
      <c r="Q70">
        <f>22.3*2</f>
        <v>44.6</v>
      </c>
      <c r="R70">
        <f t="shared" si="11"/>
        <v>33.002424153386066</v>
      </c>
      <c r="S70">
        <f>13.5*2</f>
        <v>27</v>
      </c>
      <c r="T70">
        <f t="shared" si="6"/>
        <v>22.449944320643649</v>
      </c>
      <c r="X70">
        <f>14.8*2</f>
        <v>29.6</v>
      </c>
    </row>
    <row r="71" spans="1:24">
      <c r="A71" t="s">
        <v>64</v>
      </c>
      <c r="B71" s="3">
        <v>46090</v>
      </c>
      <c r="C71" s="3">
        <v>46092</v>
      </c>
      <c r="D71">
        <v>1</v>
      </c>
      <c r="E71">
        <v>500</v>
      </c>
      <c r="F71" t="s">
        <v>68</v>
      </c>
      <c r="G71">
        <v>16</v>
      </c>
      <c r="H71">
        <v>26</v>
      </c>
      <c r="I71">
        <v>30</v>
      </c>
      <c r="J71">
        <v>35</v>
      </c>
      <c r="K71">
        <f t="shared" ref="K71:K75" si="24">(H71-G71)/25</f>
        <v>0.4</v>
      </c>
      <c r="L71">
        <f t="shared" ref="L71:L75" si="25">(I71-H71)/25</f>
        <v>0.16</v>
      </c>
      <c r="M71">
        <f t="shared" ref="M71:M75" si="26">(J71-I71)/25</f>
        <v>0.2</v>
      </c>
      <c r="O71">
        <f t="shared" ref="O71:O75" si="27">SUM(K71:M71)</f>
        <v>0.76</v>
      </c>
      <c r="Q71">
        <f>23.2*2</f>
        <v>46.4</v>
      </c>
      <c r="R71">
        <f t="shared" si="11"/>
        <v>35.397175028524522</v>
      </c>
      <c r="S71">
        <f>12.4*2</f>
        <v>24.8</v>
      </c>
      <c r="T71">
        <f t="shared" si="6"/>
        <v>19.749430371532242</v>
      </c>
      <c r="U71">
        <v>62.2</v>
      </c>
      <c r="V71">
        <f>SQRT((U71^2)-(30^2))</f>
        <v>54.487062684641025</v>
      </c>
      <c r="X71">
        <f>13.9*2</f>
        <v>27.8</v>
      </c>
    </row>
    <row r="72" spans="1:24">
      <c r="A72" t="s">
        <v>64</v>
      </c>
      <c r="B72" s="3">
        <v>46090</v>
      </c>
      <c r="C72" s="3">
        <v>46092</v>
      </c>
      <c r="D72">
        <v>1</v>
      </c>
      <c r="E72">
        <v>500</v>
      </c>
      <c r="F72" t="s">
        <v>77</v>
      </c>
      <c r="G72">
        <v>11</v>
      </c>
      <c r="H72">
        <v>20</v>
      </c>
      <c r="I72">
        <v>24</v>
      </c>
      <c r="J72">
        <v>29</v>
      </c>
      <c r="K72">
        <f t="shared" si="24"/>
        <v>0.36</v>
      </c>
      <c r="L72">
        <f t="shared" si="25"/>
        <v>0.16</v>
      </c>
      <c r="M72">
        <f t="shared" si="26"/>
        <v>0.2</v>
      </c>
      <c r="O72">
        <f t="shared" si="27"/>
        <v>0.72</v>
      </c>
      <c r="Q72">
        <v>44.6</v>
      </c>
      <c r="R72">
        <f t="shared" si="11"/>
        <v>33.002424153386066</v>
      </c>
      <c r="S72">
        <v>26.4</v>
      </c>
      <c r="T72">
        <f t="shared" si="6"/>
        <v>21.724640388278004</v>
      </c>
      <c r="X72">
        <v>28</v>
      </c>
    </row>
    <row r="73" spans="1:24">
      <c r="A73" t="s">
        <v>64</v>
      </c>
      <c r="B73" s="3">
        <v>46090</v>
      </c>
      <c r="C73" s="3">
        <v>46092</v>
      </c>
      <c r="D73">
        <v>1</v>
      </c>
      <c r="E73">
        <v>500</v>
      </c>
      <c r="F73" t="s">
        <v>85</v>
      </c>
      <c r="G73">
        <v>4</v>
      </c>
      <c r="H73">
        <v>12</v>
      </c>
      <c r="I73">
        <v>16</v>
      </c>
      <c r="J73">
        <v>21</v>
      </c>
      <c r="K73">
        <f t="shared" si="24"/>
        <v>0.32</v>
      </c>
      <c r="L73">
        <f t="shared" si="25"/>
        <v>0.16</v>
      </c>
      <c r="M73">
        <f t="shared" si="26"/>
        <v>0.2</v>
      </c>
      <c r="O73">
        <f t="shared" si="27"/>
        <v>0.67999999999999994</v>
      </c>
      <c r="Q73">
        <v>44.2</v>
      </c>
      <c r="R73">
        <f t="shared" si="11"/>
        <v>32.459821318054111</v>
      </c>
      <c r="S73">
        <v>26.4</v>
      </c>
      <c r="T73">
        <f t="shared" si="6"/>
        <v>21.724640388278004</v>
      </c>
      <c r="X73">
        <f>13.8*2</f>
        <v>27.6</v>
      </c>
    </row>
    <row r="74" spans="1:24">
      <c r="A74" t="s">
        <v>64</v>
      </c>
      <c r="B74" s="3">
        <v>46090</v>
      </c>
      <c r="C74" s="3">
        <v>46092</v>
      </c>
      <c r="D74">
        <v>1</v>
      </c>
      <c r="E74">
        <v>500</v>
      </c>
      <c r="F74" t="s">
        <v>69</v>
      </c>
      <c r="G74">
        <v>3</v>
      </c>
      <c r="H74">
        <v>12</v>
      </c>
      <c r="I74">
        <v>14</v>
      </c>
      <c r="J74">
        <v>18</v>
      </c>
      <c r="K74">
        <f t="shared" si="24"/>
        <v>0.36</v>
      </c>
      <c r="L74">
        <f t="shared" si="25"/>
        <v>0.08</v>
      </c>
      <c r="M74">
        <f t="shared" si="26"/>
        <v>0.16</v>
      </c>
      <c r="O74">
        <f t="shared" si="27"/>
        <v>0.6</v>
      </c>
      <c r="Q74">
        <f>21.33*2</f>
        <v>42.66</v>
      </c>
      <c r="R74">
        <f t="shared" si="11"/>
        <v>30.329451033607576</v>
      </c>
      <c r="S74">
        <f>12.9*2</f>
        <v>25.8</v>
      </c>
      <c r="T74">
        <f t="shared" si="6"/>
        <v>20.991426821443081</v>
      </c>
      <c r="X74">
        <f>13.4*2</f>
        <v>26.8</v>
      </c>
    </row>
    <row r="75" spans="1:24">
      <c r="A75" t="s">
        <v>64</v>
      </c>
      <c r="B75" s="3">
        <v>46090</v>
      </c>
      <c r="C75" s="3">
        <v>46092</v>
      </c>
      <c r="D75">
        <v>1</v>
      </c>
      <c r="E75">
        <v>500</v>
      </c>
      <c r="F75" t="s">
        <v>70</v>
      </c>
      <c r="G75">
        <v>9</v>
      </c>
      <c r="H75">
        <v>19</v>
      </c>
      <c r="I75">
        <v>24</v>
      </c>
      <c r="J75">
        <v>27</v>
      </c>
      <c r="K75">
        <f t="shared" si="24"/>
        <v>0.4</v>
      </c>
      <c r="L75">
        <f t="shared" si="25"/>
        <v>0.2</v>
      </c>
      <c r="M75">
        <f t="shared" si="26"/>
        <v>0.12</v>
      </c>
      <c r="O75">
        <f t="shared" si="27"/>
        <v>0.72000000000000008</v>
      </c>
      <c r="Q75">
        <f>21.6*2</f>
        <v>43.2</v>
      </c>
      <c r="R75">
        <f t="shared" si="11"/>
        <v>31.084401232772688</v>
      </c>
      <c r="S75">
        <f>13.6*2</f>
        <v>27.2</v>
      </c>
      <c r="T75">
        <f t="shared" si="6"/>
        <v>22.690085940780389</v>
      </c>
      <c r="X75">
        <f>13.5*2</f>
        <v>27</v>
      </c>
    </row>
    <row r="76" spans="1:24">
      <c r="A76" t="s">
        <v>64</v>
      </c>
      <c r="B76" s="3">
        <v>46090</v>
      </c>
      <c r="C76" s="3">
        <v>46092</v>
      </c>
      <c r="D76">
        <v>1</v>
      </c>
      <c r="E76">
        <v>500</v>
      </c>
      <c r="F76" t="s">
        <v>86</v>
      </c>
      <c r="G76">
        <v>17</v>
      </c>
      <c r="H76">
        <v>27</v>
      </c>
      <c r="I76">
        <v>32</v>
      </c>
      <c r="J76">
        <v>36</v>
      </c>
      <c r="K76">
        <f t="shared" ref="K76" si="28">(H76-G76)/25</f>
        <v>0.4</v>
      </c>
      <c r="L76">
        <f t="shared" ref="L76" si="29">(I76-H76)/25</f>
        <v>0.2</v>
      </c>
      <c r="M76">
        <f t="shared" ref="M76" si="30">(J76-I76)/25</f>
        <v>0.16</v>
      </c>
      <c r="O76">
        <f t="shared" ref="O76" si="31">SUM(K76:M76)</f>
        <v>0.76000000000000012</v>
      </c>
      <c r="Q76">
        <f>22.1*2</f>
        <v>44.2</v>
      </c>
      <c r="R76">
        <f t="shared" si="11"/>
        <v>32.459821318054111</v>
      </c>
      <c r="S76">
        <f>12.6*2</f>
        <v>25.2</v>
      </c>
      <c r="T76">
        <f t="shared" si="6"/>
        <v>20.249444436823445</v>
      </c>
      <c r="X76">
        <v>28</v>
      </c>
    </row>
    <row r="77" spans="1:24">
      <c r="A77" t="s">
        <v>64</v>
      </c>
      <c r="B77" s="3">
        <v>46090</v>
      </c>
      <c r="C77" s="3">
        <v>46092</v>
      </c>
      <c r="D77">
        <v>1</v>
      </c>
      <c r="E77">
        <v>500</v>
      </c>
      <c r="G77">
        <v>19</v>
      </c>
      <c r="H77">
        <v>30</v>
      </c>
      <c r="I77">
        <v>34</v>
      </c>
      <c r="J77">
        <v>38</v>
      </c>
      <c r="K77">
        <f t="shared" ref="K77" si="32">(H77-G77)/25</f>
        <v>0.44</v>
      </c>
      <c r="L77">
        <f t="shared" ref="L77" si="33">(I77-H77)/25</f>
        <v>0.16</v>
      </c>
      <c r="M77">
        <f t="shared" ref="M77" si="34">(J77-I77)/25</f>
        <v>0.16</v>
      </c>
      <c r="O77">
        <f t="shared" ref="O77" si="35">SUM(K77:M77)</f>
        <v>0.76</v>
      </c>
      <c r="Q77">
        <f>22.7*2</f>
        <v>45.4</v>
      </c>
      <c r="R77">
        <f t="shared" si="11"/>
        <v>34.07579786299948</v>
      </c>
      <c r="S77">
        <f>13.8*2</f>
        <v>27.6</v>
      </c>
      <c r="T77">
        <f t="shared" si="6"/>
        <v>23.168081491569389</v>
      </c>
      <c r="X77">
        <v>28</v>
      </c>
    </row>
    <row r="78" spans="1:24">
      <c r="A78" t="s">
        <v>64</v>
      </c>
      <c r="B78" s="3">
        <v>46090</v>
      </c>
      <c r="C78" s="3">
        <v>46092</v>
      </c>
      <c r="D78">
        <v>1</v>
      </c>
      <c r="E78">
        <v>500</v>
      </c>
      <c r="F78" t="s">
        <v>71</v>
      </c>
      <c r="G78">
        <v>8</v>
      </c>
      <c r="H78">
        <v>16</v>
      </c>
      <c r="I78">
        <v>19</v>
      </c>
      <c r="J78">
        <v>22</v>
      </c>
      <c r="K78">
        <f>(H78-G78)/25</f>
        <v>0.32</v>
      </c>
      <c r="L78">
        <f>(I78-H78)/25</f>
        <v>0.12</v>
      </c>
      <c r="M78">
        <f>(J78-I78)/25</f>
        <v>0.12</v>
      </c>
      <c r="O78">
        <f>SUM(K78:M78)</f>
        <v>0.56000000000000005</v>
      </c>
      <c r="Q78">
        <f>19.9*2</f>
        <v>39.799999999999997</v>
      </c>
      <c r="R78">
        <f>SQRT((Q78^2)-(30^2))</f>
        <v>26.154158369177161</v>
      </c>
      <c r="S78">
        <f>11.4*2</f>
        <v>22.8</v>
      </c>
      <c r="T78">
        <f>SQRT((S78^2)-(15^2))</f>
        <v>17.170905625505021</v>
      </c>
      <c r="X78">
        <f>12.6*2</f>
        <v>25.2</v>
      </c>
    </row>
    <row r="79" spans="1:24">
      <c r="A79" t="s">
        <v>64</v>
      </c>
      <c r="B79" s="3">
        <v>46090</v>
      </c>
      <c r="C79" s="3">
        <v>46092</v>
      </c>
      <c r="D79">
        <v>1</v>
      </c>
      <c r="E79">
        <v>500</v>
      </c>
      <c r="F79" t="s">
        <v>87</v>
      </c>
      <c r="G79">
        <v>2</v>
      </c>
      <c r="H79">
        <v>10</v>
      </c>
      <c r="I79">
        <v>12</v>
      </c>
      <c r="J79">
        <v>16</v>
      </c>
      <c r="K79">
        <f>(H79-G79)/25</f>
        <v>0.32</v>
      </c>
      <c r="L79">
        <f>(I79-H79)/25</f>
        <v>0.08</v>
      </c>
      <c r="M79">
        <f>(J79-I79)/25</f>
        <v>0.16</v>
      </c>
      <c r="O79">
        <f>SUM(K79:M79)</f>
        <v>0.56000000000000005</v>
      </c>
      <c r="Q79">
        <v>42</v>
      </c>
      <c r="R79">
        <f>SQRT((Q79^2)-(30^2))</f>
        <v>29.393876913398138</v>
      </c>
      <c r="S79">
        <f>11.6*2</f>
        <v>23.2</v>
      </c>
      <c r="T79">
        <f>SQRT((S79^2)-(15^2))</f>
        <v>17.698587514262261</v>
      </c>
      <c r="X79">
        <v>24.8</v>
      </c>
    </row>
    <row r="80" spans="1:24">
      <c r="A80" t="s">
        <v>64</v>
      </c>
      <c r="B80" s="3">
        <v>46090</v>
      </c>
      <c r="C80" s="3">
        <v>46092</v>
      </c>
      <c r="D80">
        <v>1</v>
      </c>
      <c r="E80">
        <v>500</v>
      </c>
      <c r="F80" t="s">
        <v>72</v>
      </c>
      <c r="G80">
        <v>13</v>
      </c>
      <c r="H80">
        <v>24</v>
      </c>
      <c r="I80">
        <v>28</v>
      </c>
      <c r="J80">
        <v>32</v>
      </c>
      <c r="K80">
        <f>(H80-G80)/25</f>
        <v>0.44</v>
      </c>
      <c r="L80">
        <f>(I80-H80)/25</f>
        <v>0.16</v>
      </c>
      <c r="M80">
        <f>(J80-I80)/25</f>
        <v>0.16</v>
      </c>
      <c r="O80">
        <f>SUM(K80:M80)</f>
        <v>0.76</v>
      </c>
      <c r="Q80">
        <f>21.3*2</f>
        <v>42.6</v>
      </c>
      <c r="R80">
        <f>SQRT((Q80^2)-(30^2))</f>
        <v>30.244999586708548</v>
      </c>
      <c r="S80">
        <f>12.5*2</f>
        <v>25</v>
      </c>
      <c r="T80">
        <f>SQRT((S80^2)-(15^2))</f>
        <v>20</v>
      </c>
      <c r="X80">
        <f>12.5*2</f>
        <v>25</v>
      </c>
    </row>
    <row r="81" spans="1:24">
      <c r="A81" t="s">
        <v>64</v>
      </c>
      <c r="B81" s="3">
        <v>46090</v>
      </c>
      <c r="C81" s="3">
        <v>46092</v>
      </c>
      <c r="D81">
        <v>1</v>
      </c>
      <c r="E81">
        <v>500</v>
      </c>
      <c r="F81" t="s">
        <v>74</v>
      </c>
      <c r="G81">
        <v>12</v>
      </c>
      <c r="H81">
        <v>15</v>
      </c>
      <c r="I81">
        <v>22</v>
      </c>
      <c r="J81">
        <v>24</v>
      </c>
      <c r="K81">
        <f>(H81-G81)/25</f>
        <v>0.12</v>
      </c>
      <c r="L81">
        <f>(I81-H81)/25</f>
        <v>0.28000000000000003</v>
      </c>
      <c r="M81">
        <f>(J81-I81)/25</f>
        <v>0.08</v>
      </c>
      <c r="O81">
        <f>SUM(K81:M81)</f>
        <v>0.48000000000000004</v>
      </c>
      <c r="Q81">
        <f>18.3*2</f>
        <v>36.6</v>
      </c>
      <c r="R81">
        <f>SQRT((Q81^2)-(30^2))</f>
        <v>20.965686251587382</v>
      </c>
      <c r="S81">
        <f>8.5*2</f>
        <v>17</v>
      </c>
      <c r="T81">
        <f>SQRT((S81^2)-(15^2))</f>
        <v>8</v>
      </c>
      <c r="X81">
        <v>24</v>
      </c>
    </row>
    <row r="102" spans="21:31">
      <c r="AE102" t="s">
        <v>88</v>
      </c>
    </row>
    <row r="104" spans="21:31">
      <c r="U104" t="s">
        <v>89</v>
      </c>
    </row>
    <row r="153" spans="30:30">
      <c r="AD153" t="s">
        <v>90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0B9684011EC84D9361D4285528DBE2" ma:contentTypeVersion="14" ma:contentTypeDescription="Create a new document." ma:contentTypeScope="" ma:versionID="a5c05d83cad1b0fb3c6d1672483c9254">
  <xsd:schema xmlns:xsd="http://www.w3.org/2001/XMLSchema" xmlns:xs="http://www.w3.org/2001/XMLSchema" xmlns:p="http://schemas.microsoft.com/office/2006/metadata/properties" xmlns:ns2="b89cfe0a-7ac3-47b6-b8ac-49cd4b69c3b2" xmlns:ns3="a4353606-617e-4087-ae26-d201473c9b18" targetNamespace="http://schemas.microsoft.com/office/2006/metadata/properties" ma:root="true" ma:fieldsID="7dfa45f72eb6bae1ad2f9bc7464cbd2e" ns2:_="" ns3:_="">
    <xsd:import namespace="b89cfe0a-7ac3-47b6-b8ac-49cd4b69c3b2"/>
    <xsd:import namespace="a4353606-617e-4087-ae26-d201473c9b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9cfe0a-7ac3-47b6-b8ac-49cd4b69c3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4db3e13-40cb-4c10-bb96-9b32253903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53606-617e-4087-ae26-d201473c9b1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1a4ea82-e3b6-4314-971e-b034e74301ba}" ma:internalName="TaxCatchAll" ma:showField="CatchAllData" ma:web="a4353606-617e-4087-ae26-d201473c9b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353606-617e-4087-ae26-d201473c9b18" xsi:nil="true"/>
    <lcf76f155ced4ddcb4097134ff3c332f xmlns="b89cfe0a-7ac3-47b6-b8ac-49cd4b69c3b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344C5E-08F6-48E6-A0CB-4433ECD7A0C4}"/>
</file>

<file path=customXml/itemProps2.xml><?xml version="1.0" encoding="utf-8"?>
<ds:datastoreItem xmlns:ds="http://schemas.openxmlformats.org/officeDocument/2006/customXml" ds:itemID="{4633C2C7-9BD1-45DB-B8CC-E8B4F386D51F}"/>
</file>

<file path=customXml/itemProps3.xml><?xml version="1.0" encoding="utf-8"?>
<ds:datastoreItem xmlns:ds="http://schemas.openxmlformats.org/officeDocument/2006/customXml" ds:itemID="{E54A7DB5-7236-4AAC-B202-D758136A35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Conor O’Sullivan</dc:creator>
  <cp:keywords/>
  <dc:description/>
  <cp:lastModifiedBy/>
  <cp:revision/>
  <dcterms:created xsi:type="dcterms:W3CDTF">2026-03-16T11:45:25Z</dcterms:created>
  <dcterms:modified xsi:type="dcterms:W3CDTF">2026-03-20T12:05:05Z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0x010100110B9684011EC84D9361D4285528DBE2</vt:lpwstr>
  </property>
</Properties>
</file>